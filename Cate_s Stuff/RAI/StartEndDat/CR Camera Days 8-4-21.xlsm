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2" codeName="{D272C609-87CA-5A14-B04D-65DF03BDDAF1}"/>
  <workbookPr codeName="ThisWorkbook2" hidePivotFieldList="1"/>
  <mc:AlternateContent xmlns:mc="http://schemas.openxmlformats.org/markup-compatibility/2006">
    <mc:Choice Requires="x15">
      <x15ac:absPath xmlns:x15ac="http://schemas.microsoft.com/office/spreadsheetml/2010/11/ac" url="/Users/categ/Desktop/"/>
    </mc:Choice>
  </mc:AlternateContent>
  <xr:revisionPtr revIDLastSave="0" documentId="8_{33CA9C71-03E1-CE4B-B2E7-067BBCBB6832}" xr6:coauthVersionLast="47" xr6:coauthVersionMax="47" xr10:uidLastSave="{00000000-0000-0000-0000-000000000000}"/>
  <bookViews>
    <workbookView xWindow="0" yWindow="500" windowWidth="28000" windowHeight="16140" xr2:uid="{00000000-000D-0000-FFFF-FFFF00000000}"/>
  </bookViews>
  <sheets>
    <sheet name="Camera Days FINAL 4-20-20" sheetId="1" r:id="rId1"/>
    <sheet name="Camera Day Summary" sheetId="2" r:id="rId2"/>
    <sheet name="Key for Autofill" sheetId="3" r:id="rId3"/>
  </sheets>
  <definedNames>
    <definedName name="_xlnm._FilterDatabase" localSheetId="0" hidden="1">'Camera Days FINAL 4-20-20'!$A$1:$P$1181</definedName>
    <definedName name="Cameras">#REF!</definedName>
  </definedNames>
  <calcPr calcId="191029"/>
  <pivotCaches>
    <pivotCache cacheId="13" r:id="rId4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2">
      <go:sheetsCustomData xmlns:go="http://customooxmlschemas.google.com/" r:id="rId9" roundtripDataChecksum="Gr9eUPNQrvPwtIBViFhTF9gVBh2fxjqiEDbEOHaH9s8="/>
    </ext>
  </extLst>
</workbook>
</file>

<file path=xl/calcChain.xml><?xml version="1.0" encoding="utf-8"?>
<calcChain xmlns="http://schemas.openxmlformats.org/spreadsheetml/2006/main">
  <c r="M1177" i="1" l="1"/>
  <c r="M1176" i="1"/>
  <c r="N1175" i="1"/>
  <c r="M1175" i="1"/>
  <c r="N1174" i="1"/>
  <c r="M1174" i="1"/>
  <c r="N1173" i="1"/>
  <c r="M1173" i="1"/>
  <c r="N1172" i="1"/>
  <c r="M1172" i="1"/>
  <c r="N1171" i="1"/>
  <c r="M1171" i="1"/>
  <c r="N1170" i="1"/>
  <c r="M1170" i="1"/>
  <c r="N1169" i="1"/>
  <c r="M1169" i="1"/>
  <c r="N1168" i="1"/>
  <c r="M1168" i="1"/>
  <c r="N1167" i="1"/>
  <c r="M1167" i="1"/>
  <c r="N1166" i="1"/>
  <c r="M1166" i="1"/>
  <c r="N1165" i="1"/>
  <c r="M1165" i="1"/>
  <c r="N1164" i="1"/>
  <c r="M1164" i="1"/>
  <c r="N1163" i="1"/>
  <c r="M1163" i="1"/>
  <c r="N1162" i="1"/>
  <c r="M1162" i="1"/>
  <c r="N1161" i="1"/>
  <c r="M1161" i="1"/>
  <c r="N1160" i="1"/>
  <c r="M1160" i="1"/>
  <c r="N1159" i="1"/>
  <c r="M1159" i="1"/>
  <c r="N1158" i="1"/>
  <c r="M1158" i="1"/>
  <c r="N1157" i="1"/>
  <c r="M1157" i="1"/>
  <c r="N1156" i="1"/>
  <c r="M1156" i="1"/>
  <c r="N1155" i="1"/>
  <c r="M1155" i="1"/>
  <c r="N1154" i="1"/>
  <c r="M1154" i="1"/>
  <c r="N1153" i="1"/>
  <c r="M1153" i="1"/>
  <c r="N1152" i="1"/>
  <c r="M1152" i="1"/>
  <c r="N1151" i="1"/>
  <c r="M1151" i="1"/>
  <c r="N1150" i="1"/>
  <c r="N1149" i="1"/>
  <c r="N1148" i="1"/>
  <c r="N1147" i="1"/>
  <c r="M1147" i="1"/>
  <c r="N1146" i="1"/>
  <c r="M1146" i="1"/>
  <c r="N1145" i="1"/>
  <c r="N1144" i="1"/>
  <c r="M1144" i="1"/>
  <c r="N1143" i="1"/>
  <c r="N1142" i="1"/>
  <c r="M1142" i="1"/>
  <c r="N1141" i="1"/>
  <c r="M1141" i="1"/>
  <c r="N1140" i="1"/>
  <c r="M1140" i="1"/>
  <c r="N1139" i="1"/>
  <c r="M1139" i="1"/>
  <c r="N1138" i="1"/>
  <c r="M1138" i="1"/>
  <c r="N1137" i="1"/>
  <c r="M1137" i="1"/>
  <c r="N1136" i="1"/>
  <c r="M1136" i="1"/>
  <c r="N1135" i="1"/>
  <c r="M1135" i="1"/>
  <c r="N1134" i="1"/>
  <c r="N1133" i="1"/>
  <c r="M1133" i="1"/>
  <c r="N1132" i="1"/>
  <c r="N1131" i="1"/>
  <c r="M1131" i="1"/>
  <c r="N1130" i="1"/>
  <c r="M1130" i="1"/>
  <c r="N1129" i="1"/>
  <c r="N1128" i="1"/>
  <c r="N1127" i="1"/>
  <c r="M1127" i="1"/>
  <c r="N1126" i="1"/>
  <c r="N1125" i="1"/>
  <c r="M1125" i="1"/>
  <c r="N1124" i="1"/>
  <c r="M1124" i="1"/>
  <c r="N1123" i="1"/>
  <c r="M1123" i="1"/>
  <c r="N1122" i="1"/>
  <c r="M1122" i="1"/>
  <c r="N1121" i="1"/>
  <c r="M1121" i="1"/>
  <c r="N1120" i="1"/>
  <c r="M1120" i="1"/>
  <c r="N1119" i="1"/>
  <c r="M1119" i="1"/>
  <c r="N1118" i="1"/>
  <c r="M1118" i="1"/>
  <c r="N1117" i="1"/>
  <c r="M1117" i="1"/>
  <c r="N1116" i="1"/>
  <c r="N1115" i="1"/>
  <c r="M1115" i="1"/>
  <c r="N1114" i="1"/>
  <c r="M1114" i="1"/>
  <c r="N1113" i="1"/>
  <c r="M1113" i="1"/>
  <c r="N1112" i="1"/>
  <c r="M1112" i="1"/>
  <c r="N1111" i="1"/>
  <c r="M1111" i="1"/>
  <c r="N1110" i="1"/>
  <c r="M1110" i="1"/>
  <c r="N1109" i="1"/>
  <c r="M1109" i="1"/>
  <c r="N1108" i="1"/>
  <c r="M1108" i="1"/>
  <c r="N1107" i="1"/>
  <c r="M1107" i="1"/>
  <c r="N1106" i="1"/>
  <c r="M1106" i="1"/>
  <c r="N1105" i="1"/>
  <c r="M1105" i="1"/>
  <c r="N1104" i="1"/>
  <c r="N1103" i="1"/>
  <c r="M1103" i="1"/>
  <c r="N1102" i="1"/>
  <c r="M1102" i="1"/>
  <c r="N1101" i="1"/>
  <c r="M1101" i="1"/>
  <c r="N1100" i="1"/>
  <c r="M1100" i="1"/>
  <c r="N1099" i="1"/>
  <c r="M1099" i="1"/>
  <c r="N1098" i="1"/>
  <c r="N1097" i="1"/>
  <c r="N1096" i="1"/>
  <c r="M1096" i="1"/>
  <c r="N1095" i="1"/>
  <c r="N1094" i="1"/>
  <c r="N1093" i="1"/>
  <c r="M1093" i="1"/>
  <c r="N1092" i="1"/>
  <c r="M1092" i="1"/>
  <c r="N1091" i="1"/>
  <c r="M1091" i="1"/>
  <c r="N1090" i="1"/>
  <c r="M1090" i="1"/>
  <c r="N1089" i="1"/>
  <c r="M1089" i="1"/>
  <c r="N1088" i="1"/>
  <c r="M1088" i="1"/>
  <c r="N1087" i="1"/>
  <c r="M1087" i="1"/>
  <c r="N1086" i="1"/>
  <c r="M1086" i="1"/>
  <c r="N1085" i="1"/>
  <c r="M1085" i="1"/>
  <c r="N1084" i="1"/>
  <c r="M1084" i="1"/>
  <c r="N1083" i="1"/>
  <c r="M1083" i="1"/>
  <c r="N1082" i="1"/>
  <c r="M1082" i="1"/>
  <c r="N1081" i="1"/>
  <c r="M1081" i="1"/>
  <c r="N1080" i="1"/>
  <c r="M1080" i="1"/>
  <c r="N1079" i="1"/>
  <c r="M1079" i="1"/>
  <c r="N1078" i="1"/>
  <c r="M1078" i="1"/>
  <c r="N1077" i="1"/>
  <c r="M1077" i="1"/>
  <c r="N1076" i="1"/>
  <c r="M1076" i="1"/>
  <c r="N1075" i="1"/>
  <c r="N1074" i="1"/>
  <c r="M1074" i="1"/>
  <c r="N1073" i="1"/>
  <c r="N1072" i="1"/>
  <c r="N1071" i="1"/>
  <c r="M1071" i="1"/>
  <c r="N1070" i="1"/>
  <c r="M1070" i="1"/>
  <c r="N1069" i="1"/>
  <c r="M1069" i="1"/>
  <c r="N1068" i="1"/>
  <c r="M1068" i="1"/>
  <c r="N1067" i="1"/>
  <c r="M1067" i="1"/>
  <c r="N1066" i="1"/>
  <c r="M1066" i="1"/>
  <c r="N1065" i="1"/>
  <c r="M1065" i="1"/>
  <c r="N1064" i="1"/>
  <c r="M1064" i="1"/>
  <c r="N1063" i="1"/>
  <c r="M1063" i="1"/>
  <c r="N1062" i="1"/>
  <c r="M1062" i="1"/>
  <c r="N1061" i="1"/>
  <c r="M1061" i="1"/>
  <c r="N1060" i="1"/>
  <c r="M1060" i="1"/>
  <c r="N1059" i="1"/>
  <c r="M1059" i="1"/>
  <c r="N1058" i="1"/>
  <c r="M1058" i="1"/>
  <c r="N1057" i="1"/>
  <c r="M1057" i="1"/>
  <c r="N1056" i="1"/>
  <c r="M1056" i="1"/>
  <c r="N1055" i="1"/>
  <c r="M1055" i="1"/>
  <c r="N1054" i="1"/>
  <c r="M1054" i="1"/>
  <c r="N1053" i="1"/>
  <c r="M1053" i="1"/>
  <c r="N1052" i="1"/>
  <c r="M1052" i="1"/>
  <c r="N1051" i="1"/>
  <c r="M1051" i="1"/>
  <c r="N1050" i="1"/>
  <c r="M1050" i="1"/>
  <c r="N1049" i="1"/>
  <c r="M1049" i="1"/>
  <c r="N1048" i="1"/>
  <c r="M1048" i="1"/>
  <c r="N1047" i="1"/>
  <c r="M1047" i="1"/>
  <c r="N1046" i="1"/>
  <c r="M1046" i="1"/>
  <c r="N1045" i="1"/>
  <c r="M1045" i="1"/>
  <c r="N1044" i="1"/>
  <c r="M1044" i="1"/>
  <c r="N1043" i="1"/>
  <c r="M1043" i="1"/>
  <c r="N1042" i="1"/>
  <c r="M1042" i="1"/>
  <c r="N1041" i="1"/>
  <c r="M1041" i="1"/>
  <c r="N1040" i="1"/>
  <c r="M1040" i="1"/>
  <c r="N1039" i="1"/>
  <c r="M1039" i="1"/>
  <c r="N1038" i="1"/>
  <c r="M1038" i="1"/>
  <c r="N1037" i="1"/>
  <c r="M1037" i="1"/>
  <c r="N1036" i="1"/>
  <c r="M1036" i="1"/>
  <c r="N1035" i="1"/>
  <c r="M1035" i="1"/>
  <c r="N1034" i="1"/>
  <c r="M1034" i="1"/>
  <c r="N1033" i="1"/>
  <c r="M1033" i="1"/>
  <c r="N1032" i="1"/>
  <c r="M1032" i="1"/>
  <c r="N1031" i="1"/>
  <c r="M1031" i="1"/>
  <c r="N1030" i="1"/>
  <c r="M1030" i="1"/>
  <c r="N1029" i="1"/>
  <c r="M1029" i="1"/>
  <c r="N1028" i="1"/>
  <c r="M1028" i="1"/>
  <c r="N1027" i="1"/>
  <c r="M1027" i="1"/>
  <c r="N1026" i="1"/>
  <c r="M1026" i="1"/>
  <c r="N1025" i="1"/>
  <c r="M1025" i="1"/>
  <c r="N1024" i="1"/>
  <c r="M1024" i="1"/>
  <c r="N1023" i="1"/>
  <c r="M1023" i="1"/>
  <c r="N1022" i="1"/>
  <c r="M1022" i="1"/>
  <c r="N1021" i="1"/>
  <c r="M1021" i="1"/>
  <c r="N1020" i="1"/>
  <c r="M1020" i="1"/>
  <c r="N1019" i="1"/>
  <c r="M1019" i="1"/>
  <c r="N1018" i="1"/>
  <c r="M1018" i="1"/>
  <c r="N1017" i="1"/>
  <c r="N1016" i="1"/>
  <c r="M1016" i="1"/>
  <c r="N1015" i="1"/>
  <c r="M1015" i="1"/>
  <c r="N1014" i="1"/>
  <c r="M1014" i="1"/>
  <c r="N1013" i="1"/>
  <c r="M1013" i="1"/>
  <c r="N1012" i="1"/>
  <c r="M1012" i="1"/>
  <c r="N1011" i="1"/>
  <c r="M1011" i="1"/>
  <c r="N1010" i="1"/>
  <c r="M1010" i="1"/>
  <c r="N1009" i="1"/>
  <c r="M1009" i="1"/>
  <c r="N1008" i="1"/>
  <c r="N1007" i="1"/>
  <c r="M1007" i="1"/>
  <c r="N1006" i="1"/>
  <c r="M1006" i="1"/>
  <c r="N1005" i="1"/>
  <c r="N1004" i="1"/>
  <c r="M1004" i="1"/>
  <c r="N1003" i="1"/>
  <c r="M1003" i="1"/>
  <c r="N1002" i="1"/>
  <c r="M1002" i="1"/>
  <c r="N1001" i="1"/>
  <c r="M1001" i="1"/>
  <c r="N1000" i="1"/>
  <c r="M1000" i="1"/>
  <c r="N999" i="1"/>
  <c r="M999" i="1"/>
  <c r="N998" i="1"/>
  <c r="M998" i="1"/>
  <c r="N997" i="1"/>
  <c r="M997" i="1"/>
  <c r="N996" i="1"/>
  <c r="M996" i="1"/>
  <c r="N995" i="1"/>
  <c r="M995" i="1"/>
  <c r="N994" i="1"/>
  <c r="M994" i="1"/>
  <c r="N993" i="1"/>
  <c r="N992" i="1"/>
  <c r="M992" i="1"/>
  <c r="N991" i="1"/>
  <c r="M991" i="1"/>
  <c r="N990" i="1"/>
  <c r="M990" i="1"/>
  <c r="N989" i="1"/>
  <c r="M989" i="1"/>
  <c r="N988" i="1"/>
  <c r="M988" i="1"/>
  <c r="N987" i="1"/>
  <c r="M987" i="1"/>
  <c r="N986" i="1"/>
  <c r="N985" i="1"/>
  <c r="M985" i="1"/>
  <c r="N984" i="1"/>
  <c r="M984" i="1"/>
  <c r="N983" i="1"/>
  <c r="M983" i="1"/>
  <c r="N982" i="1"/>
  <c r="M982" i="1"/>
  <c r="N981" i="1"/>
  <c r="M981" i="1"/>
  <c r="N980" i="1"/>
  <c r="M980" i="1"/>
  <c r="N979" i="1"/>
  <c r="N978" i="1"/>
  <c r="M978" i="1"/>
  <c r="N977" i="1"/>
  <c r="M977" i="1"/>
  <c r="N976" i="1"/>
  <c r="M976" i="1"/>
  <c r="N975" i="1"/>
  <c r="M975" i="1"/>
  <c r="N974" i="1"/>
  <c r="M974" i="1"/>
  <c r="N973" i="1"/>
  <c r="M973" i="1"/>
  <c r="N972" i="1"/>
  <c r="M972" i="1"/>
  <c r="N971" i="1"/>
  <c r="M971" i="1"/>
  <c r="N970" i="1"/>
  <c r="M970" i="1"/>
  <c r="N969" i="1"/>
  <c r="M969" i="1"/>
  <c r="N968" i="1"/>
  <c r="M968" i="1"/>
  <c r="N967" i="1"/>
  <c r="M967" i="1"/>
  <c r="N966" i="1"/>
  <c r="M966" i="1"/>
  <c r="N965" i="1"/>
  <c r="M965" i="1"/>
  <c r="N964" i="1"/>
  <c r="M964" i="1"/>
  <c r="N963" i="1"/>
  <c r="M963" i="1"/>
  <c r="N962" i="1"/>
  <c r="N961" i="1"/>
  <c r="M961" i="1"/>
  <c r="N960" i="1"/>
  <c r="M960" i="1"/>
  <c r="N959" i="1"/>
  <c r="N958" i="1"/>
  <c r="N957" i="1"/>
  <c r="M957" i="1"/>
  <c r="N956" i="1"/>
  <c r="M956" i="1"/>
  <c r="N955" i="1"/>
  <c r="M955" i="1"/>
  <c r="N954" i="1"/>
  <c r="M954" i="1"/>
  <c r="N953" i="1"/>
  <c r="N952" i="1"/>
  <c r="M952" i="1"/>
  <c r="N951" i="1"/>
  <c r="M951" i="1"/>
  <c r="N950" i="1"/>
  <c r="M950" i="1"/>
  <c r="N949" i="1"/>
  <c r="M949" i="1"/>
  <c r="N948" i="1"/>
  <c r="M948" i="1"/>
  <c r="N947" i="1"/>
  <c r="M947" i="1"/>
  <c r="N946" i="1"/>
  <c r="M946" i="1"/>
  <c r="N945" i="1"/>
  <c r="M945" i="1"/>
  <c r="N944" i="1"/>
  <c r="N943" i="1"/>
  <c r="M943" i="1"/>
  <c r="N942" i="1"/>
  <c r="M942" i="1"/>
  <c r="N941" i="1"/>
  <c r="M941" i="1"/>
  <c r="N940" i="1"/>
  <c r="M940" i="1"/>
  <c r="N939" i="1"/>
  <c r="M939" i="1"/>
  <c r="N938" i="1"/>
  <c r="M938" i="1"/>
  <c r="N937" i="1"/>
  <c r="M937" i="1"/>
  <c r="N936" i="1"/>
  <c r="M936" i="1"/>
  <c r="N935" i="1"/>
  <c r="M935" i="1"/>
  <c r="N934" i="1"/>
  <c r="M934" i="1"/>
  <c r="N933" i="1"/>
  <c r="N932" i="1"/>
  <c r="M932" i="1"/>
  <c r="N931" i="1"/>
  <c r="M931" i="1"/>
  <c r="N930" i="1"/>
  <c r="M930" i="1"/>
  <c r="N929" i="1"/>
  <c r="M929" i="1"/>
  <c r="N928" i="1"/>
  <c r="M928" i="1"/>
  <c r="N927" i="1"/>
  <c r="M927" i="1"/>
  <c r="N926" i="1"/>
  <c r="M926" i="1"/>
  <c r="N925" i="1"/>
  <c r="M925" i="1"/>
  <c r="N924" i="1"/>
  <c r="N923" i="1"/>
  <c r="M923" i="1"/>
  <c r="N922" i="1"/>
  <c r="M922" i="1"/>
  <c r="N921" i="1"/>
  <c r="M921" i="1"/>
  <c r="N920" i="1"/>
  <c r="M920" i="1"/>
  <c r="N919" i="1"/>
  <c r="M919" i="1"/>
  <c r="N918" i="1"/>
  <c r="M918" i="1"/>
  <c r="N917" i="1"/>
  <c r="M917" i="1"/>
  <c r="N916" i="1"/>
  <c r="M916" i="1"/>
  <c r="N915" i="1"/>
  <c r="M915" i="1"/>
  <c r="N914" i="1"/>
  <c r="M914" i="1"/>
  <c r="N913" i="1"/>
  <c r="M913" i="1"/>
  <c r="N912" i="1"/>
  <c r="M912" i="1"/>
  <c r="N911" i="1"/>
  <c r="M911" i="1"/>
  <c r="N910" i="1"/>
  <c r="M910" i="1"/>
  <c r="N909" i="1"/>
  <c r="N908" i="1"/>
  <c r="M908" i="1"/>
  <c r="N907" i="1"/>
  <c r="M907" i="1"/>
  <c r="N906" i="1"/>
  <c r="M906" i="1"/>
  <c r="N905" i="1"/>
  <c r="M905" i="1"/>
  <c r="N904" i="1"/>
  <c r="M904" i="1"/>
  <c r="N903" i="1"/>
  <c r="M903" i="1"/>
  <c r="N902" i="1"/>
  <c r="M902" i="1"/>
  <c r="N901" i="1"/>
  <c r="M901" i="1"/>
  <c r="N900" i="1"/>
  <c r="M900" i="1"/>
  <c r="N899" i="1"/>
  <c r="M899" i="1"/>
  <c r="N898" i="1"/>
  <c r="M898" i="1"/>
  <c r="N897" i="1"/>
  <c r="M897" i="1"/>
  <c r="N896" i="1"/>
  <c r="M896" i="1"/>
  <c r="N895" i="1"/>
  <c r="M895" i="1"/>
  <c r="N894" i="1"/>
  <c r="M894" i="1"/>
  <c r="N893" i="1"/>
  <c r="M893" i="1"/>
  <c r="N892" i="1"/>
  <c r="M892" i="1"/>
  <c r="N891" i="1"/>
  <c r="M891" i="1"/>
  <c r="N890" i="1"/>
  <c r="M890" i="1"/>
  <c r="N889" i="1"/>
  <c r="M889" i="1"/>
  <c r="N888" i="1"/>
  <c r="M888" i="1"/>
  <c r="N887" i="1"/>
  <c r="M887" i="1"/>
  <c r="N886" i="1"/>
  <c r="M886" i="1"/>
  <c r="N885" i="1"/>
  <c r="M885" i="1"/>
  <c r="N884" i="1"/>
  <c r="M884" i="1"/>
  <c r="N883" i="1"/>
  <c r="N882" i="1"/>
  <c r="M882" i="1"/>
  <c r="N881" i="1"/>
  <c r="M881" i="1"/>
  <c r="N880" i="1"/>
  <c r="M880" i="1"/>
  <c r="N879" i="1"/>
  <c r="M879" i="1"/>
  <c r="N878" i="1"/>
  <c r="M878" i="1"/>
  <c r="N877" i="1"/>
  <c r="M877" i="1"/>
  <c r="N876" i="1"/>
  <c r="M876" i="1"/>
  <c r="N875" i="1"/>
  <c r="M875" i="1"/>
  <c r="N874" i="1"/>
  <c r="M874" i="1"/>
  <c r="N873" i="1"/>
  <c r="M873" i="1"/>
  <c r="N872" i="1"/>
  <c r="M872" i="1"/>
  <c r="N871" i="1"/>
  <c r="M871" i="1"/>
  <c r="N870" i="1"/>
  <c r="M870" i="1"/>
  <c r="N869" i="1"/>
  <c r="N868" i="1"/>
  <c r="M868" i="1"/>
  <c r="N867" i="1"/>
  <c r="M867" i="1"/>
  <c r="N866" i="1"/>
  <c r="M866" i="1"/>
  <c r="N865" i="1"/>
  <c r="M865" i="1"/>
  <c r="N864" i="1"/>
  <c r="M864" i="1"/>
  <c r="N863" i="1"/>
  <c r="M863" i="1"/>
  <c r="N862" i="1"/>
  <c r="N861" i="1"/>
  <c r="M861" i="1"/>
  <c r="N860" i="1"/>
  <c r="M860" i="1"/>
  <c r="N859" i="1"/>
  <c r="M859" i="1"/>
  <c r="N858" i="1"/>
  <c r="M858" i="1"/>
  <c r="N857" i="1"/>
  <c r="M857" i="1"/>
  <c r="N856" i="1"/>
  <c r="M856" i="1"/>
  <c r="N855" i="1"/>
  <c r="N854" i="1"/>
  <c r="M854" i="1"/>
  <c r="N853" i="1"/>
  <c r="M853" i="1"/>
  <c r="N852" i="1"/>
  <c r="M852" i="1"/>
  <c r="N851" i="1"/>
  <c r="M851" i="1"/>
  <c r="N850" i="1"/>
  <c r="M850" i="1"/>
  <c r="N849" i="1"/>
  <c r="M849" i="1"/>
  <c r="N848" i="1"/>
  <c r="M848" i="1"/>
  <c r="N847" i="1"/>
  <c r="N846" i="1"/>
  <c r="N845" i="1"/>
  <c r="M845" i="1"/>
  <c r="N844" i="1"/>
  <c r="M844" i="1"/>
  <c r="N843" i="1"/>
  <c r="M843" i="1"/>
  <c r="N842" i="1"/>
  <c r="M842" i="1"/>
  <c r="N841" i="1"/>
  <c r="M841" i="1"/>
  <c r="N840" i="1"/>
  <c r="M840" i="1"/>
  <c r="N839" i="1"/>
  <c r="N838" i="1"/>
  <c r="M838" i="1"/>
  <c r="N837" i="1"/>
  <c r="M837" i="1"/>
  <c r="N836" i="1"/>
  <c r="M836" i="1"/>
  <c r="N835" i="1"/>
  <c r="M835" i="1"/>
  <c r="N834" i="1"/>
  <c r="N833" i="1"/>
  <c r="M833" i="1"/>
  <c r="N832" i="1"/>
  <c r="M832" i="1"/>
  <c r="N831" i="1"/>
  <c r="M831" i="1"/>
  <c r="N830" i="1"/>
  <c r="N829" i="1"/>
  <c r="M829" i="1"/>
  <c r="N828" i="1"/>
  <c r="N827" i="1"/>
  <c r="M827" i="1"/>
  <c r="N826" i="1"/>
  <c r="M826" i="1"/>
  <c r="N825" i="1"/>
  <c r="M825" i="1"/>
  <c r="N824" i="1"/>
  <c r="M824" i="1"/>
  <c r="N823" i="1"/>
  <c r="M823" i="1"/>
  <c r="N822" i="1"/>
  <c r="N821" i="1"/>
  <c r="M821" i="1"/>
  <c r="N820" i="1"/>
  <c r="M820" i="1"/>
  <c r="N819" i="1"/>
  <c r="M819" i="1"/>
  <c r="N818" i="1"/>
  <c r="M818" i="1"/>
  <c r="N817" i="1"/>
  <c r="M817" i="1"/>
  <c r="N816" i="1"/>
  <c r="N815" i="1"/>
  <c r="M815" i="1"/>
  <c r="N814" i="1"/>
  <c r="M814" i="1"/>
  <c r="N813" i="1"/>
  <c r="M813" i="1"/>
  <c r="N812" i="1"/>
  <c r="M812" i="1"/>
  <c r="N811" i="1"/>
  <c r="M811" i="1"/>
  <c r="N810" i="1"/>
  <c r="M810" i="1"/>
  <c r="N809" i="1"/>
  <c r="N808" i="1"/>
  <c r="M808" i="1"/>
  <c r="N807" i="1"/>
  <c r="N806" i="1"/>
  <c r="M806" i="1"/>
  <c r="N805" i="1"/>
  <c r="M805" i="1"/>
  <c r="N804" i="1"/>
  <c r="M804" i="1"/>
  <c r="N803" i="1"/>
  <c r="M803" i="1"/>
  <c r="N802" i="1"/>
  <c r="M802" i="1"/>
  <c r="N801" i="1"/>
  <c r="N800" i="1"/>
  <c r="M800" i="1"/>
  <c r="N799" i="1"/>
  <c r="M799" i="1"/>
  <c r="N798" i="1"/>
  <c r="M798" i="1"/>
  <c r="N797" i="1"/>
  <c r="M797" i="1"/>
  <c r="N796" i="1"/>
  <c r="N795" i="1"/>
  <c r="M795" i="1"/>
  <c r="N794" i="1"/>
  <c r="M794" i="1"/>
  <c r="N793" i="1"/>
  <c r="M793" i="1"/>
  <c r="N792" i="1"/>
  <c r="N791" i="1"/>
  <c r="M791" i="1"/>
  <c r="N790" i="1"/>
  <c r="M790" i="1"/>
  <c r="N789" i="1"/>
  <c r="M789" i="1"/>
  <c r="N788" i="1"/>
  <c r="N787" i="1"/>
  <c r="M787" i="1"/>
  <c r="N786" i="1"/>
  <c r="M786" i="1"/>
  <c r="N785" i="1"/>
  <c r="M785" i="1"/>
  <c r="N784" i="1"/>
  <c r="M784" i="1"/>
  <c r="N783" i="1"/>
  <c r="M783" i="1"/>
  <c r="N782" i="1"/>
  <c r="M782" i="1"/>
  <c r="N781" i="1"/>
  <c r="N780" i="1"/>
  <c r="N779" i="1"/>
  <c r="N778" i="1"/>
  <c r="M778" i="1"/>
  <c r="N777" i="1"/>
  <c r="M777" i="1"/>
  <c r="N776" i="1"/>
  <c r="M776" i="1"/>
  <c r="N775" i="1"/>
  <c r="M775" i="1"/>
  <c r="N774" i="1"/>
  <c r="M774" i="1"/>
  <c r="N773" i="1"/>
  <c r="M773" i="1"/>
  <c r="N772" i="1"/>
  <c r="M772" i="1"/>
  <c r="N771" i="1"/>
  <c r="M771" i="1"/>
  <c r="N770" i="1"/>
  <c r="M770" i="1"/>
  <c r="N769" i="1"/>
  <c r="M769" i="1"/>
  <c r="N768" i="1"/>
  <c r="M768" i="1"/>
  <c r="N767" i="1"/>
  <c r="M767" i="1"/>
  <c r="N766" i="1"/>
  <c r="M766" i="1"/>
  <c r="N765" i="1"/>
  <c r="M765" i="1"/>
  <c r="N764" i="1"/>
  <c r="M764" i="1"/>
  <c r="N763" i="1"/>
  <c r="M763" i="1"/>
  <c r="N762" i="1"/>
  <c r="M762" i="1"/>
  <c r="N761" i="1"/>
  <c r="M761" i="1"/>
  <c r="N760" i="1"/>
  <c r="M760" i="1"/>
  <c r="N759" i="1"/>
  <c r="M759" i="1"/>
  <c r="N758" i="1"/>
  <c r="M758" i="1"/>
  <c r="N757" i="1"/>
  <c r="M757" i="1"/>
  <c r="N756" i="1"/>
  <c r="M756" i="1"/>
  <c r="N755" i="1"/>
  <c r="M755" i="1"/>
  <c r="N754" i="1"/>
  <c r="M754" i="1"/>
  <c r="N753" i="1"/>
  <c r="M753" i="1"/>
  <c r="N752" i="1"/>
  <c r="M752" i="1"/>
  <c r="N751" i="1"/>
  <c r="M751" i="1"/>
  <c r="N750" i="1"/>
  <c r="M750" i="1"/>
  <c r="N749" i="1"/>
  <c r="M749" i="1"/>
  <c r="N748" i="1"/>
  <c r="M748" i="1"/>
  <c r="N747" i="1"/>
  <c r="N746" i="1"/>
  <c r="M746" i="1"/>
  <c r="N745" i="1"/>
  <c r="M745" i="1"/>
  <c r="N744" i="1"/>
  <c r="M744" i="1"/>
  <c r="N743" i="1"/>
  <c r="M743" i="1"/>
  <c r="N742" i="1"/>
  <c r="M742" i="1"/>
  <c r="N741" i="1"/>
  <c r="N740" i="1"/>
  <c r="M740" i="1"/>
  <c r="N739" i="1"/>
  <c r="M739" i="1"/>
  <c r="N738" i="1"/>
  <c r="M738" i="1"/>
  <c r="N737" i="1"/>
  <c r="M737" i="1"/>
  <c r="N736" i="1"/>
  <c r="M736" i="1"/>
  <c r="N735" i="1"/>
  <c r="M735" i="1"/>
  <c r="N734" i="1"/>
  <c r="N733" i="1"/>
  <c r="M733" i="1"/>
  <c r="N732" i="1"/>
  <c r="M732" i="1"/>
  <c r="N731" i="1"/>
  <c r="M731" i="1"/>
  <c r="N730" i="1"/>
  <c r="M730" i="1"/>
  <c r="N729" i="1"/>
  <c r="M729" i="1"/>
  <c r="N728" i="1"/>
  <c r="M728" i="1"/>
  <c r="N727" i="1"/>
  <c r="M727" i="1"/>
  <c r="N726" i="1"/>
  <c r="M726" i="1"/>
  <c r="N725" i="1"/>
  <c r="N724" i="1"/>
  <c r="M724" i="1"/>
  <c r="N723" i="1"/>
  <c r="M723" i="1"/>
  <c r="N722" i="1"/>
  <c r="M722" i="1"/>
  <c r="N721" i="1"/>
  <c r="M721" i="1"/>
  <c r="N720" i="1"/>
  <c r="M720" i="1"/>
  <c r="N719" i="1"/>
  <c r="N718" i="1"/>
  <c r="M718" i="1"/>
  <c r="N717" i="1"/>
  <c r="M717" i="1"/>
  <c r="N716" i="1"/>
  <c r="M716" i="1"/>
  <c r="N715" i="1"/>
  <c r="M715" i="1"/>
  <c r="N714" i="1"/>
  <c r="M714" i="1"/>
  <c r="N713" i="1"/>
  <c r="M713" i="1"/>
  <c r="N712" i="1"/>
  <c r="M712" i="1"/>
  <c r="N711" i="1"/>
  <c r="M711" i="1"/>
  <c r="N710" i="1"/>
  <c r="M710" i="1"/>
  <c r="N709" i="1"/>
  <c r="M709" i="1"/>
  <c r="N708" i="1"/>
  <c r="M708" i="1"/>
  <c r="N707" i="1"/>
  <c r="M707" i="1"/>
  <c r="N706" i="1"/>
  <c r="M706" i="1"/>
  <c r="N705" i="1"/>
  <c r="M705" i="1"/>
  <c r="N704" i="1"/>
  <c r="N703" i="1"/>
  <c r="M703" i="1"/>
  <c r="N702" i="1"/>
  <c r="M702" i="1"/>
  <c r="N701" i="1"/>
  <c r="M701" i="1"/>
  <c r="N700" i="1"/>
  <c r="M700" i="1"/>
  <c r="N699" i="1"/>
  <c r="M699" i="1"/>
  <c r="N698" i="1"/>
  <c r="M698" i="1"/>
  <c r="N697" i="1"/>
  <c r="N696" i="1"/>
  <c r="M696" i="1"/>
  <c r="N695" i="1"/>
  <c r="N694" i="1"/>
  <c r="M694" i="1"/>
  <c r="N693" i="1"/>
  <c r="M693" i="1"/>
  <c r="N692" i="1"/>
  <c r="M692" i="1"/>
  <c r="N691" i="1"/>
  <c r="M691" i="1"/>
  <c r="N690" i="1"/>
  <c r="M690" i="1"/>
  <c r="N689" i="1"/>
  <c r="M689" i="1"/>
  <c r="N688" i="1"/>
  <c r="M688" i="1"/>
  <c r="N687" i="1"/>
  <c r="M687" i="1"/>
  <c r="N686" i="1"/>
  <c r="M686" i="1"/>
  <c r="N685" i="1"/>
  <c r="M685" i="1"/>
  <c r="N684" i="1"/>
  <c r="M684" i="1"/>
  <c r="N683" i="1"/>
  <c r="M683" i="1"/>
  <c r="N682" i="1"/>
  <c r="M682" i="1"/>
  <c r="N681" i="1"/>
  <c r="M681" i="1"/>
  <c r="N680" i="1"/>
  <c r="M680" i="1"/>
  <c r="N679" i="1"/>
  <c r="M679" i="1"/>
  <c r="N678" i="1"/>
  <c r="M678" i="1"/>
  <c r="N677" i="1"/>
  <c r="M677" i="1"/>
  <c r="N676" i="1"/>
  <c r="M676" i="1"/>
  <c r="N675" i="1"/>
  <c r="M675" i="1"/>
  <c r="N674" i="1"/>
  <c r="N673" i="1"/>
  <c r="M673" i="1"/>
  <c r="N672" i="1"/>
  <c r="M672" i="1"/>
  <c r="N671" i="1"/>
  <c r="M671" i="1"/>
  <c r="N670" i="1"/>
  <c r="M670" i="1"/>
  <c r="N669" i="1"/>
  <c r="N668" i="1"/>
  <c r="M668" i="1"/>
  <c r="N667" i="1"/>
  <c r="N666" i="1"/>
  <c r="M666" i="1"/>
  <c r="N665" i="1"/>
  <c r="M665" i="1"/>
  <c r="N664" i="1"/>
  <c r="M664" i="1"/>
  <c r="N663" i="1"/>
  <c r="M663" i="1"/>
  <c r="N662" i="1"/>
  <c r="M662" i="1"/>
  <c r="N661" i="1"/>
  <c r="M661" i="1"/>
  <c r="N660" i="1"/>
  <c r="M660" i="1"/>
  <c r="N659" i="1"/>
  <c r="N658" i="1"/>
  <c r="M658" i="1"/>
  <c r="N657" i="1"/>
  <c r="N656" i="1"/>
  <c r="M656" i="1"/>
  <c r="N655" i="1"/>
  <c r="M655" i="1"/>
  <c r="N654" i="1"/>
  <c r="M654" i="1"/>
  <c r="N653" i="1"/>
  <c r="N652" i="1"/>
  <c r="N651" i="1"/>
  <c r="M651" i="1"/>
  <c r="N650" i="1"/>
  <c r="M650" i="1"/>
  <c r="N649" i="1"/>
  <c r="M649" i="1"/>
  <c r="N648" i="1"/>
  <c r="M648" i="1"/>
  <c r="N647" i="1"/>
  <c r="M647" i="1"/>
  <c r="N646" i="1"/>
  <c r="M646" i="1"/>
  <c r="N645" i="1"/>
  <c r="M645" i="1"/>
  <c r="N644" i="1"/>
  <c r="M644" i="1"/>
  <c r="N643" i="1"/>
  <c r="M643" i="1"/>
  <c r="N642" i="1"/>
  <c r="M642" i="1"/>
  <c r="N641" i="1"/>
  <c r="M641" i="1"/>
  <c r="N640" i="1"/>
  <c r="M640" i="1"/>
  <c r="N639" i="1"/>
  <c r="M639" i="1"/>
  <c r="N638" i="1"/>
  <c r="M638" i="1"/>
  <c r="N637" i="1"/>
  <c r="M637" i="1"/>
  <c r="N636" i="1"/>
  <c r="M636" i="1"/>
  <c r="N635" i="1"/>
  <c r="M635" i="1"/>
  <c r="N634" i="1"/>
  <c r="M634" i="1"/>
  <c r="N633" i="1"/>
  <c r="M633" i="1"/>
  <c r="N632" i="1"/>
  <c r="M632" i="1"/>
  <c r="N631" i="1"/>
  <c r="M631" i="1"/>
  <c r="N630" i="1"/>
  <c r="M630" i="1"/>
  <c r="N629" i="1"/>
  <c r="M629" i="1"/>
  <c r="N628" i="1"/>
  <c r="M628" i="1"/>
  <c r="N627" i="1"/>
  <c r="M627" i="1"/>
  <c r="N626" i="1"/>
  <c r="M626" i="1"/>
  <c r="N625" i="1"/>
  <c r="M625" i="1"/>
  <c r="N624" i="1"/>
  <c r="M624" i="1"/>
  <c r="N623" i="1"/>
  <c r="M623" i="1"/>
  <c r="N622" i="1"/>
  <c r="M622" i="1"/>
  <c r="N621" i="1"/>
  <c r="M621" i="1"/>
  <c r="N620" i="1"/>
  <c r="N619" i="1"/>
  <c r="N618" i="1"/>
  <c r="M618" i="1"/>
  <c r="N617" i="1"/>
  <c r="M617" i="1"/>
  <c r="N616" i="1"/>
  <c r="M616" i="1"/>
  <c r="N615" i="1"/>
  <c r="M615" i="1"/>
  <c r="N614" i="1"/>
  <c r="M614" i="1"/>
  <c r="N613" i="1"/>
  <c r="M613" i="1"/>
  <c r="N612" i="1"/>
  <c r="M612" i="1"/>
  <c r="N611" i="1"/>
  <c r="M611" i="1"/>
  <c r="N610" i="1"/>
  <c r="M610" i="1"/>
  <c r="N609" i="1"/>
  <c r="M609" i="1"/>
  <c r="N608" i="1"/>
  <c r="M608" i="1"/>
  <c r="N607" i="1"/>
  <c r="M607" i="1"/>
  <c r="N606" i="1"/>
  <c r="M606" i="1"/>
  <c r="N605" i="1"/>
  <c r="M605" i="1"/>
  <c r="N604" i="1"/>
  <c r="M604" i="1"/>
  <c r="N603" i="1"/>
  <c r="M603" i="1"/>
  <c r="N602" i="1"/>
  <c r="M602" i="1"/>
  <c r="N601" i="1"/>
  <c r="N600" i="1"/>
  <c r="M600" i="1"/>
  <c r="N599" i="1"/>
  <c r="M599" i="1"/>
  <c r="N598" i="1"/>
  <c r="M598" i="1"/>
  <c r="N597" i="1"/>
  <c r="M597" i="1"/>
  <c r="N596" i="1"/>
  <c r="M596" i="1"/>
  <c r="N595" i="1"/>
  <c r="M595" i="1"/>
  <c r="N594" i="1"/>
  <c r="M594" i="1"/>
  <c r="N593" i="1"/>
  <c r="M593" i="1"/>
  <c r="N592" i="1"/>
  <c r="M592" i="1"/>
  <c r="N591" i="1"/>
  <c r="M591" i="1"/>
  <c r="N590" i="1"/>
  <c r="M590" i="1"/>
  <c r="N589" i="1"/>
  <c r="M589" i="1"/>
  <c r="N588" i="1"/>
  <c r="M588" i="1"/>
  <c r="N587" i="1"/>
  <c r="M587" i="1"/>
  <c r="N586" i="1"/>
  <c r="M586" i="1"/>
  <c r="N585" i="1"/>
  <c r="M585" i="1"/>
  <c r="N584" i="1"/>
  <c r="M584" i="1"/>
  <c r="N583" i="1"/>
  <c r="M583" i="1"/>
  <c r="N582" i="1"/>
  <c r="M582" i="1"/>
  <c r="N581" i="1"/>
  <c r="M581" i="1"/>
  <c r="N580" i="1"/>
  <c r="M580" i="1"/>
  <c r="N579" i="1"/>
  <c r="M579" i="1"/>
  <c r="N578" i="1"/>
  <c r="M578" i="1"/>
  <c r="N577" i="1"/>
  <c r="M577" i="1"/>
  <c r="N576" i="1"/>
  <c r="M576" i="1"/>
  <c r="N575" i="1"/>
  <c r="M575" i="1"/>
  <c r="N574" i="1"/>
  <c r="M574" i="1"/>
  <c r="N573" i="1"/>
  <c r="M573" i="1"/>
  <c r="N572" i="1"/>
  <c r="M572" i="1"/>
  <c r="N571" i="1"/>
  <c r="M571" i="1"/>
  <c r="N570" i="1"/>
  <c r="M570" i="1"/>
  <c r="N569" i="1"/>
  <c r="M569" i="1"/>
  <c r="N568" i="1"/>
  <c r="M568" i="1"/>
  <c r="N567" i="1"/>
  <c r="M567" i="1"/>
  <c r="N566" i="1"/>
  <c r="M566" i="1"/>
  <c r="N565" i="1"/>
  <c r="M565" i="1"/>
  <c r="N564" i="1"/>
  <c r="M564" i="1"/>
  <c r="N563" i="1"/>
  <c r="M563" i="1"/>
  <c r="N562" i="1"/>
  <c r="M562" i="1"/>
  <c r="N561" i="1"/>
  <c r="M561" i="1"/>
  <c r="N560" i="1"/>
  <c r="M560" i="1"/>
  <c r="N559" i="1"/>
  <c r="M559" i="1"/>
  <c r="N558" i="1"/>
  <c r="M558" i="1"/>
  <c r="N557" i="1"/>
  <c r="M557" i="1"/>
  <c r="N556" i="1"/>
  <c r="M556" i="1"/>
  <c r="N555" i="1"/>
  <c r="M555" i="1"/>
  <c r="N554" i="1"/>
  <c r="M554" i="1"/>
  <c r="N553" i="1"/>
  <c r="M553" i="1"/>
  <c r="N552" i="1"/>
  <c r="M552" i="1"/>
  <c r="N551" i="1"/>
  <c r="M551" i="1"/>
  <c r="N550" i="1"/>
  <c r="M550" i="1"/>
  <c r="N549" i="1"/>
  <c r="M549" i="1"/>
  <c r="N548" i="1"/>
  <c r="M548" i="1"/>
  <c r="N547" i="1"/>
  <c r="M547" i="1"/>
  <c r="N546" i="1"/>
  <c r="M546" i="1"/>
  <c r="N545" i="1"/>
  <c r="M545" i="1"/>
  <c r="N544" i="1"/>
  <c r="M544" i="1"/>
  <c r="N543" i="1"/>
  <c r="M543" i="1"/>
  <c r="N542" i="1"/>
  <c r="M542" i="1"/>
  <c r="N541" i="1"/>
  <c r="M541" i="1"/>
  <c r="N540" i="1"/>
  <c r="M540" i="1"/>
  <c r="N539" i="1"/>
  <c r="M539" i="1"/>
  <c r="N538" i="1"/>
  <c r="M538" i="1"/>
  <c r="N537" i="1"/>
  <c r="N536" i="1"/>
  <c r="M536" i="1"/>
  <c r="N535" i="1"/>
  <c r="M535" i="1"/>
  <c r="N534" i="1"/>
  <c r="M534" i="1"/>
  <c r="N533" i="1"/>
  <c r="M533" i="1"/>
  <c r="N532" i="1"/>
  <c r="M532" i="1"/>
  <c r="N531" i="1"/>
  <c r="M531" i="1"/>
  <c r="N530" i="1"/>
  <c r="M530" i="1"/>
  <c r="N529" i="1"/>
  <c r="N528" i="1"/>
  <c r="M528" i="1"/>
  <c r="N527" i="1"/>
  <c r="M527" i="1"/>
  <c r="N526" i="1"/>
  <c r="M526" i="1"/>
  <c r="N525" i="1"/>
  <c r="M525" i="1"/>
  <c r="N524" i="1"/>
  <c r="M524" i="1"/>
  <c r="N523" i="1"/>
  <c r="M523" i="1"/>
  <c r="N522" i="1"/>
  <c r="M522" i="1"/>
  <c r="N521" i="1"/>
  <c r="M521" i="1"/>
  <c r="N520" i="1"/>
  <c r="M520" i="1"/>
  <c r="N519" i="1"/>
  <c r="M519" i="1"/>
  <c r="N518" i="1"/>
  <c r="M518" i="1"/>
  <c r="N517" i="1"/>
  <c r="M517" i="1"/>
  <c r="N516" i="1"/>
  <c r="M516" i="1"/>
  <c r="N515" i="1"/>
  <c r="M515" i="1"/>
  <c r="N514" i="1"/>
  <c r="M514" i="1"/>
  <c r="N513" i="1"/>
  <c r="M513" i="1"/>
  <c r="N512" i="1"/>
  <c r="M512" i="1"/>
  <c r="N511" i="1"/>
  <c r="M511" i="1"/>
  <c r="N510" i="1"/>
  <c r="M510" i="1"/>
  <c r="N509" i="1"/>
  <c r="M509" i="1"/>
  <c r="N508" i="1"/>
  <c r="M508" i="1"/>
  <c r="N507" i="1"/>
  <c r="M507" i="1"/>
  <c r="N506" i="1"/>
  <c r="M506" i="1"/>
  <c r="N505" i="1"/>
  <c r="M505" i="1"/>
  <c r="N504" i="1"/>
  <c r="M504" i="1"/>
  <c r="N503" i="1"/>
  <c r="M503" i="1"/>
  <c r="N502" i="1"/>
  <c r="M502" i="1"/>
  <c r="N501" i="1"/>
  <c r="M501" i="1"/>
  <c r="N500" i="1"/>
  <c r="M500" i="1"/>
  <c r="N499" i="1"/>
  <c r="M499" i="1"/>
  <c r="N498" i="1"/>
  <c r="M498" i="1"/>
  <c r="N497" i="1"/>
  <c r="M497" i="1"/>
  <c r="N496" i="1"/>
  <c r="M496" i="1"/>
  <c r="N495" i="1"/>
  <c r="M495" i="1"/>
  <c r="N494" i="1"/>
  <c r="M494" i="1"/>
  <c r="N493" i="1"/>
  <c r="M493" i="1"/>
  <c r="N492" i="1"/>
  <c r="M492" i="1"/>
  <c r="N491" i="1"/>
  <c r="M491" i="1"/>
  <c r="N490" i="1"/>
  <c r="M490" i="1"/>
  <c r="N489" i="1"/>
  <c r="M489" i="1"/>
  <c r="N488" i="1"/>
  <c r="M488" i="1"/>
  <c r="N487" i="1"/>
  <c r="M487" i="1"/>
  <c r="N486" i="1"/>
  <c r="M486" i="1"/>
  <c r="N485" i="1"/>
  <c r="M485" i="1"/>
  <c r="N484" i="1"/>
  <c r="M484" i="1"/>
  <c r="N483" i="1"/>
  <c r="M483" i="1"/>
  <c r="N482" i="1"/>
  <c r="M482" i="1"/>
  <c r="N481" i="1"/>
  <c r="M481" i="1"/>
  <c r="N480" i="1"/>
  <c r="M480" i="1"/>
  <c r="N479" i="1"/>
  <c r="M479" i="1"/>
  <c r="N478" i="1"/>
  <c r="M478" i="1"/>
  <c r="N477" i="1"/>
  <c r="M477" i="1"/>
  <c r="N476" i="1"/>
  <c r="M476" i="1"/>
  <c r="N475" i="1"/>
  <c r="M475" i="1"/>
  <c r="N474" i="1"/>
  <c r="M474" i="1"/>
  <c r="N473" i="1"/>
  <c r="M473" i="1"/>
  <c r="N472" i="1"/>
  <c r="M472" i="1"/>
  <c r="N471" i="1"/>
  <c r="M471" i="1"/>
  <c r="N470" i="1"/>
  <c r="M470" i="1"/>
  <c r="N469" i="1"/>
  <c r="M469" i="1"/>
  <c r="N468" i="1"/>
  <c r="M468" i="1"/>
  <c r="N467" i="1"/>
  <c r="M467" i="1"/>
  <c r="N466" i="1"/>
  <c r="M466" i="1"/>
  <c r="N465" i="1"/>
  <c r="M465" i="1"/>
  <c r="N464" i="1"/>
  <c r="M464" i="1"/>
  <c r="N463" i="1"/>
  <c r="M463" i="1"/>
  <c r="N462" i="1"/>
  <c r="M462" i="1"/>
  <c r="N461" i="1"/>
  <c r="M461" i="1"/>
  <c r="N460" i="1"/>
  <c r="M460" i="1"/>
  <c r="N459" i="1"/>
  <c r="M459" i="1"/>
  <c r="N458" i="1"/>
  <c r="M458" i="1"/>
  <c r="N457" i="1"/>
  <c r="M457" i="1"/>
  <c r="N456" i="1"/>
  <c r="M456" i="1"/>
  <c r="N455" i="1"/>
  <c r="M455" i="1"/>
  <c r="N454" i="1"/>
  <c r="M454" i="1"/>
  <c r="N453" i="1"/>
  <c r="M453" i="1"/>
  <c r="N452" i="1"/>
  <c r="N451" i="1"/>
  <c r="M451" i="1"/>
  <c r="N450" i="1"/>
  <c r="M450" i="1"/>
  <c r="N449" i="1"/>
  <c r="M449" i="1"/>
  <c r="N448" i="1"/>
  <c r="M448" i="1"/>
  <c r="N447" i="1"/>
  <c r="M447" i="1"/>
  <c r="N446" i="1"/>
  <c r="M446" i="1"/>
  <c r="N445" i="1"/>
  <c r="M445" i="1"/>
  <c r="N444" i="1"/>
  <c r="M444" i="1"/>
  <c r="N443" i="1"/>
  <c r="M443" i="1"/>
  <c r="N442" i="1"/>
  <c r="M442" i="1"/>
  <c r="N441" i="1"/>
  <c r="M441" i="1"/>
  <c r="N440" i="1"/>
  <c r="M440" i="1"/>
  <c r="N439" i="1"/>
  <c r="M439" i="1"/>
  <c r="N438" i="1"/>
  <c r="M438" i="1"/>
  <c r="N437" i="1"/>
  <c r="M437" i="1"/>
  <c r="N436" i="1"/>
  <c r="M436" i="1"/>
  <c r="N435" i="1"/>
  <c r="M435" i="1"/>
  <c r="N434" i="1"/>
  <c r="M434" i="1"/>
  <c r="N433" i="1"/>
  <c r="M433" i="1"/>
  <c r="N432" i="1"/>
  <c r="M432" i="1"/>
  <c r="N431" i="1"/>
  <c r="M431" i="1"/>
  <c r="N430" i="1"/>
  <c r="M430" i="1"/>
  <c r="N429" i="1"/>
  <c r="M429" i="1"/>
  <c r="N428" i="1"/>
  <c r="M428" i="1"/>
  <c r="N427" i="1"/>
  <c r="M427" i="1"/>
  <c r="N426" i="1"/>
  <c r="M426" i="1"/>
  <c r="N425" i="1"/>
  <c r="M425" i="1"/>
  <c r="N424" i="1"/>
  <c r="M424" i="1"/>
  <c r="N423" i="1"/>
  <c r="M423" i="1"/>
  <c r="N422" i="1"/>
  <c r="M422" i="1"/>
  <c r="N421" i="1"/>
  <c r="M421" i="1"/>
  <c r="N420" i="1"/>
  <c r="M420" i="1"/>
  <c r="N419" i="1"/>
  <c r="M419" i="1"/>
  <c r="N418" i="1"/>
  <c r="M418" i="1"/>
  <c r="N417" i="1"/>
  <c r="M417" i="1"/>
  <c r="N416" i="1"/>
  <c r="M416" i="1"/>
  <c r="N415" i="1"/>
  <c r="M415" i="1"/>
  <c r="N414" i="1"/>
  <c r="M414" i="1"/>
  <c r="N413" i="1"/>
  <c r="M413" i="1"/>
  <c r="N412" i="1"/>
  <c r="M412" i="1"/>
  <c r="N411" i="1"/>
  <c r="M411" i="1"/>
  <c r="N410" i="1"/>
  <c r="M410" i="1"/>
  <c r="N409" i="1"/>
  <c r="M409" i="1"/>
  <c r="N408" i="1"/>
  <c r="M408" i="1"/>
  <c r="N407" i="1"/>
  <c r="M407" i="1"/>
  <c r="N406" i="1"/>
  <c r="M406" i="1"/>
  <c r="N405" i="1"/>
  <c r="M405" i="1"/>
  <c r="N404" i="1"/>
  <c r="M404" i="1"/>
  <c r="N403" i="1"/>
  <c r="M403" i="1"/>
  <c r="N402" i="1"/>
  <c r="M402" i="1"/>
  <c r="N401" i="1"/>
  <c r="M401" i="1"/>
  <c r="N400" i="1"/>
  <c r="M400" i="1"/>
  <c r="N399" i="1"/>
  <c r="M399" i="1"/>
  <c r="N398" i="1"/>
  <c r="M398" i="1"/>
  <c r="N397" i="1"/>
  <c r="M397" i="1"/>
  <c r="N396" i="1"/>
  <c r="N395" i="1"/>
  <c r="M395" i="1"/>
  <c r="N394" i="1"/>
  <c r="M394" i="1"/>
  <c r="N393" i="1"/>
  <c r="M393" i="1"/>
  <c r="N392" i="1"/>
  <c r="M392" i="1"/>
  <c r="N391" i="1"/>
  <c r="M391" i="1"/>
  <c r="N390" i="1"/>
  <c r="M390" i="1"/>
  <c r="N389" i="1"/>
  <c r="M389" i="1"/>
  <c r="N388" i="1"/>
  <c r="M388" i="1"/>
  <c r="N387" i="1"/>
  <c r="M387" i="1"/>
  <c r="N386" i="1"/>
  <c r="M386" i="1"/>
  <c r="N385" i="1"/>
  <c r="M385" i="1"/>
  <c r="N384" i="1"/>
  <c r="M384" i="1"/>
  <c r="N383" i="1"/>
  <c r="M383" i="1"/>
  <c r="N382" i="1"/>
  <c r="M382" i="1"/>
  <c r="N381" i="1"/>
  <c r="M381" i="1"/>
  <c r="N380" i="1"/>
  <c r="M380" i="1"/>
  <c r="N379" i="1"/>
  <c r="M379" i="1"/>
  <c r="N378" i="1"/>
  <c r="M378" i="1"/>
  <c r="N377" i="1"/>
  <c r="M377" i="1"/>
  <c r="N376" i="1"/>
  <c r="M376" i="1"/>
  <c r="N375" i="1"/>
  <c r="M375" i="1"/>
  <c r="N374" i="1"/>
  <c r="M374" i="1"/>
  <c r="N373" i="1"/>
  <c r="M373" i="1"/>
  <c r="N372" i="1"/>
  <c r="M372" i="1"/>
  <c r="N371" i="1"/>
  <c r="M371" i="1"/>
  <c r="N370" i="1"/>
  <c r="M370" i="1"/>
  <c r="N369" i="1"/>
  <c r="M369" i="1"/>
  <c r="N368" i="1"/>
  <c r="M368" i="1"/>
  <c r="N367" i="1"/>
  <c r="M367" i="1"/>
  <c r="N366" i="1"/>
  <c r="M366" i="1"/>
  <c r="N365" i="1"/>
  <c r="M365" i="1"/>
  <c r="N364" i="1"/>
  <c r="M364" i="1"/>
  <c r="N363" i="1"/>
  <c r="M363" i="1"/>
  <c r="N362" i="1"/>
  <c r="N361" i="1"/>
  <c r="M361" i="1"/>
  <c r="N360" i="1"/>
  <c r="M360" i="1"/>
  <c r="N359" i="1"/>
  <c r="M359" i="1"/>
  <c r="N358" i="1"/>
  <c r="M358" i="1"/>
  <c r="N357" i="1"/>
  <c r="N356" i="1"/>
  <c r="M356" i="1"/>
  <c r="N355" i="1"/>
  <c r="M355" i="1"/>
  <c r="N354" i="1"/>
  <c r="M354" i="1"/>
  <c r="N353" i="1"/>
  <c r="M353" i="1"/>
  <c r="N352" i="1"/>
  <c r="N351" i="1"/>
  <c r="M351" i="1"/>
  <c r="N350" i="1"/>
  <c r="M350" i="1"/>
  <c r="N349" i="1"/>
  <c r="M349" i="1"/>
  <c r="N348" i="1"/>
  <c r="M348" i="1"/>
  <c r="N347" i="1"/>
  <c r="M347" i="1"/>
  <c r="N346" i="1"/>
  <c r="M346" i="1"/>
  <c r="N345" i="1"/>
  <c r="M345" i="1"/>
  <c r="N344" i="1"/>
  <c r="M344" i="1"/>
  <c r="N343" i="1"/>
  <c r="M343" i="1"/>
  <c r="N342" i="1"/>
  <c r="M342" i="1"/>
  <c r="N341" i="1"/>
  <c r="M341" i="1"/>
  <c r="N340" i="1"/>
  <c r="M340" i="1"/>
  <c r="N339" i="1"/>
  <c r="M339" i="1"/>
  <c r="N338" i="1"/>
  <c r="M338" i="1"/>
  <c r="N337" i="1"/>
  <c r="M337" i="1"/>
  <c r="N336" i="1"/>
  <c r="M336" i="1"/>
  <c r="N335" i="1"/>
  <c r="M335" i="1"/>
  <c r="N334" i="1"/>
  <c r="M334" i="1"/>
  <c r="N333" i="1"/>
  <c r="M333" i="1"/>
  <c r="N332" i="1"/>
  <c r="M332" i="1"/>
  <c r="N331" i="1"/>
  <c r="M331" i="1"/>
  <c r="N330" i="1"/>
  <c r="M330" i="1"/>
  <c r="N329" i="1"/>
  <c r="M329" i="1"/>
  <c r="N328" i="1"/>
  <c r="M328" i="1"/>
  <c r="N327" i="1"/>
  <c r="M327" i="1"/>
  <c r="N326" i="1"/>
  <c r="M326" i="1"/>
  <c r="N325" i="1"/>
  <c r="M325" i="1"/>
  <c r="N324" i="1"/>
  <c r="M324" i="1"/>
  <c r="N323" i="1"/>
  <c r="M323" i="1"/>
  <c r="N322" i="1"/>
  <c r="M322" i="1"/>
  <c r="N321" i="1"/>
  <c r="M321" i="1"/>
  <c r="N320" i="1"/>
  <c r="M320" i="1"/>
  <c r="N319" i="1"/>
  <c r="M319" i="1"/>
  <c r="N318" i="1"/>
  <c r="M318" i="1"/>
  <c r="N317" i="1"/>
  <c r="M317" i="1"/>
  <c r="N316" i="1"/>
  <c r="M316" i="1"/>
  <c r="N315" i="1"/>
  <c r="M315" i="1"/>
  <c r="N314" i="1"/>
  <c r="M314" i="1"/>
  <c r="N313" i="1"/>
  <c r="M313" i="1"/>
  <c r="N312" i="1"/>
  <c r="M312" i="1"/>
  <c r="N311" i="1"/>
  <c r="M311" i="1"/>
  <c r="N310" i="1"/>
  <c r="M310" i="1"/>
  <c r="N309" i="1"/>
  <c r="N308" i="1"/>
  <c r="N307" i="1"/>
  <c r="N306" i="1"/>
  <c r="N305" i="1"/>
  <c r="N304" i="1"/>
  <c r="M304" i="1"/>
  <c r="N303" i="1"/>
  <c r="M303" i="1"/>
  <c r="N302" i="1"/>
  <c r="M302" i="1"/>
  <c r="N301" i="1"/>
  <c r="M301" i="1"/>
  <c r="N300" i="1"/>
  <c r="M300" i="1"/>
  <c r="N299" i="1"/>
  <c r="M299" i="1"/>
  <c r="N298" i="1"/>
  <c r="M298" i="1"/>
  <c r="N297" i="1"/>
  <c r="M297" i="1"/>
  <c r="N296" i="1"/>
  <c r="M296" i="1"/>
  <c r="N295" i="1"/>
  <c r="N294" i="1"/>
  <c r="M294" i="1"/>
  <c r="N293" i="1"/>
  <c r="M293" i="1"/>
  <c r="N292" i="1"/>
  <c r="M292" i="1"/>
  <c r="N291" i="1"/>
  <c r="M291" i="1"/>
  <c r="N290" i="1"/>
  <c r="M290" i="1"/>
  <c r="N289" i="1"/>
  <c r="M289" i="1"/>
  <c r="N288" i="1"/>
  <c r="M288" i="1"/>
  <c r="N287" i="1"/>
  <c r="M287" i="1"/>
  <c r="N286" i="1"/>
  <c r="M286" i="1"/>
  <c r="N285" i="1"/>
  <c r="M285" i="1"/>
  <c r="N284" i="1"/>
  <c r="M284" i="1"/>
  <c r="N283" i="1"/>
  <c r="M283" i="1"/>
  <c r="N282" i="1"/>
  <c r="M282" i="1"/>
  <c r="N281" i="1"/>
  <c r="M281" i="1"/>
  <c r="N280" i="1"/>
  <c r="M280" i="1"/>
  <c r="N279" i="1"/>
  <c r="M279" i="1"/>
  <c r="N278" i="1"/>
  <c r="M278" i="1"/>
  <c r="N277" i="1"/>
  <c r="N276" i="1"/>
  <c r="M276" i="1"/>
  <c r="N275" i="1"/>
  <c r="M275" i="1"/>
  <c r="N274" i="1"/>
  <c r="M274" i="1"/>
  <c r="N273" i="1"/>
  <c r="M273" i="1"/>
  <c r="N272" i="1"/>
  <c r="M272" i="1"/>
  <c r="N271" i="1"/>
  <c r="M271" i="1"/>
  <c r="N270" i="1"/>
  <c r="M270" i="1"/>
  <c r="N269" i="1"/>
  <c r="M269" i="1"/>
  <c r="N268" i="1"/>
  <c r="M268" i="1"/>
  <c r="N267" i="1"/>
  <c r="N266" i="1"/>
  <c r="M266" i="1"/>
  <c r="N265" i="1"/>
  <c r="M265" i="1"/>
  <c r="N264" i="1"/>
  <c r="M264" i="1"/>
  <c r="N263" i="1"/>
  <c r="M263" i="1"/>
  <c r="N262" i="1"/>
  <c r="M262" i="1"/>
  <c r="N261" i="1"/>
  <c r="M261" i="1"/>
  <c r="N260" i="1"/>
  <c r="M260" i="1"/>
  <c r="N259" i="1"/>
  <c r="M259" i="1"/>
  <c r="N258" i="1"/>
  <c r="M258" i="1"/>
  <c r="N257" i="1"/>
  <c r="N256" i="1"/>
  <c r="N255" i="1"/>
  <c r="N254" i="1"/>
  <c r="M254" i="1"/>
  <c r="N253" i="1"/>
  <c r="N252" i="1"/>
  <c r="M252" i="1"/>
  <c r="N251" i="1"/>
  <c r="M251" i="1"/>
  <c r="N250" i="1"/>
  <c r="N249" i="1"/>
  <c r="M249" i="1"/>
  <c r="N248" i="1"/>
  <c r="M248" i="1"/>
  <c r="N247" i="1"/>
  <c r="M247" i="1"/>
  <c r="N246" i="1"/>
  <c r="M246" i="1"/>
  <c r="N245" i="1"/>
  <c r="M245" i="1"/>
  <c r="N244" i="1"/>
  <c r="M244" i="1"/>
  <c r="N243" i="1"/>
  <c r="M243" i="1"/>
  <c r="N242" i="1"/>
  <c r="M242" i="1"/>
  <c r="N241" i="1"/>
  <c r="M241" i="1"/>
  <c r="N240" i="1"/>
  <c r="M240" i="1"/>
  <c r="N239" i="1"/>
  <c r="M239" i="1"/>
  <c r="N238" i="1"/>
  <c r="M238" i="1"/>
  <c r="N237" i="1"/>
  <c r="M237" i="1"/>
  <c r="N236" i="1"/>
  <c r="M236" i="1"/>
  <c r="N235" i="1"/>
  <c r="M235" i="1"/>
  <c r="N234" i="1"/>
  <c r="M234" i="1"/>
  <c r="N233" i="1"/>
  <c r="M233" i="1"/>
  <c r="N232" i="1"/>
  <c r="M232" i="1"/>
  <c r="N231" i="1"/>
  <c r="M231" i="1"/>
  <c r="N230" i="1"/>
  <c r="M230" i="1"/>
  <c r="N229" i="1"/>
  <c r="M229" i="1"/>
  <c r="N228" i="1"/>
  <c r="M228" i="1"/>
  <c r="N227" i="1"/>
  <c r="M227" i="1"/>
  <c r="N226" i="1"/>
  <c r="M226" i="1"/>
  <c r="N225" i="1"/>
  <c r="M225" i="1"/>
  <c r="N224" i="1"/>
  <c r="M224" i="1"/>
  <c r="N223" i="1"/>
  <c r="M223" i="1"/>
  <c r="N222" i="1"/>
  <c r="M222" i="1"/>
  <c r="N221" i="1"/>
  <c r="M221" i="1"/>
  <c r="N220" i="1"/>
  <c r="M220" i="1"/>
  <c r="N219" i="1"/>
  <c r="M219" i="1"/>
  <c r="N218" i="1"/>
  <c r="M218" i="1"/>
  <c r="N217" i="1"/>
  <c r="M217" i="1"/>
  <c r="N216" i="1"/>
  <c r="M216" i="1"/>
  <c r="N215" i="1"/>
  <c r="M215" i="1"/>
  <c r="N214" i="1"/>
  <c r="M214" i="1"/>
  <c r="N213" i="1"/>
  <c r="M213" i="1"/>
  <c r="N212" i="1"/>
  <c r="M212" i="1"/>
  <c r="N211" i="1"/>
  <c r="M211" i="1"/>
  <c r="N210" i="1"/>
  <c r="N209" i="1"/>
  <c r="M209" i="1"/>
  <c r="N208" i="1"/>
  <c r="M208" i="1"/>
  <c r="N207" i="1"/>
  <c r="M207" i="1"/>
  <c r="N206" i="1"/>
  <c r="M206" i="1"/>
  <c r="N205" i="1"/>
  <c r="M205" i="1"/>
  <c r="N204" i="1"/>
  <c r="M204" i="1"/>
  <c r="N203" i="1"/>
  <c r="M203" i="1"/>
  <c r="N202" i="1"/>
  <c r="M202" i="1"/>
  <c r="N201" i="1"/>
  <c r="M201" i="1"/>
  <c r="N200" i="1"/>
  <c r="N199" i="1"/>
  <c r="M199" i="1"/>
  <c r="N198" i="1"/>
  <c r="M198" i="1"/>
  <c r="N197" i="1"/>
  <c r="M197" i="1"/>
  <c r="N196" i="1"/>
  <c r="M196" i="1"/>
  <c r="N195" i="1"/>
  <c r="M195" i="1"/>
  <c r="N194" i="1"/>
  <c r="M194" i="1"/>
  <c r="N193" i="1"/>
  <c r="M193" i="1"/>
  <c r="N192" i="1"/>
  <c r="M192" i="1"/>
  <c r="N191" i="1"/>
  <c r="M191" i="1"/>
  <c r="N190" i="1"/>
  <c r="M190" i="1"/>
  <c r="N189" i="1"/>
  <c r="M189" i="1"/>
  <c r="N188" i="1"/>
  <c r="M188" i="1"/>
  <c r="N187" i="1"/>
  <c r="M187" i="1"/>
  <c r="N186" i="1"/>
  <c r="M186" i="1"/>
  <c r="N185" i="1"/>
  <c r="N184" i="1"/>
  <c r="N183" i="1"/>
  <c r="M183" i="1"/>
  <c r="N182" i="1"/>
  <c r="M182" i="1"/>
  <c r="N181" i="1"/>
  <c r="M181" i="1"/>
  <c r="N180" i="1"/>
  <c r="M180" i="1"/>
  <c r="N179" i="1"/>
  <c r="M179" i="1"/>
  <c r="N178" i="1"/>
  <c r="M178" i="1"/>
  <c r="N177" i="1"/>
  <c r="M177" i="1"/>
  <c r="N176" i="1"/>
  <c r="M176" i="1"/>
  <c r="N175" i="1"/>
  <c r="N174" i="1"/>
  <c r="N173" i="1"/>
  <c r="M173" i="1"/>
  <c r="N172" i="1"/>
  <c r="M172" i="1"/>
  <c r="N171" i="1"/>
  <c r="M171" i="1"/>
  <c r="N170" i="1"/>
  <c r="M170" i="1"/>
  <c r="N169" i="1"/>
  <c r="M169" i="1"/>
  <c r="N168" i="1"/>
  <c r="M168" i="1"/>
  <c r="N167" i="1"/>
  <c r="M167" i="1"/>
  <c r="N166" i="1"/>
  <c r="M166" i="1"/>
  <c r="N165" i="1"/>
  <c r="M165" i="1"/>
  <c r="N164" i="1"/>
  <c r="M164" i="1"/>
  <c r="N163" i="1"/>
  <c r="M163" i="1"/>
  <c r="N162" i="1"/>
  <c r="M162" i="1"/>
  <c r="N161" i="1"/>
  <c r="M161" i="1"/>
  <c r="N160" i="1"/>
  <c r="M160" i="1"/>
  <c r="N159" i="1"/>
  <c r="M159" i="1"/>
  <c r="N158" i="1"/>
  <c r="M158" i="1"/>
  <c r="N157" i="1"/>
  <c r="M157" i="1"/>
  <c r="N156" i="1"/>
  <c r="M156" i="1"/>
  <c r="N155" i="1"/>
  <c r="M155" i="1"/>
  <c r="N154" i="1"/>
  <c r="M154" i="1"/>
  <c r="N153" i="1"/>
  <c r="M153" i="1"/>
  <c r="N152" i="1"/>
  <c r="M152" i="1"/>
  <c r="N151" i="1"/>
  <c r="M151" i="1"/>
  <c r="N150" i="1"/>
  <c r="M150" i="1"/>
  <c r="N149" i="1"/>
  <c r="M149" i="1"/>
  <c r="N148" i="1"/>
  <c r="M148" i="1"/>
  <c r="N147" i="1"/>
  <c r="M147" i="1"/>
  <c r="N146" i="1"/>
  <c r="M146" i="1"/>
  <c r="N145" i="1"/>
  <c r="M145" i="1"/>
  <c r="N144" i="1"/>
  <c r="M144" i="1"/>
  <c r="N143" i="1"/>
  <c r="M143" i="1"/>
  <c r="N142" i="1"/>
  <c r="M142" i="1"/>
  <c r="N141" i="1"/>
  <c r="M141" i="1"/>
  <c r="N140" i="1"/>
  <c r="M140" i="1"/>
  <c r="N139" i="1"/>
  <c r="M139" i="1"/>
  <c r="N138" i="1"/>
  <c r="M138" i="1"/>
  <c r="N137" i="1"/>
  <c r="M137" i="1"/>
  <c r="N136" i="1"/>
  <c r="M136" i="1"/>
  <c r="N135" i="1"/>
  <c r="M135" i="1"/>
  <c r="N134" i="1"/>
  <c r="M134" i="1"/>
  <c r="N133" i="1"/>
  <c r="M133" i="1"/>
  <c r="N132" i="1"/>
  <c r="M132" i="1"/>
  <c r="N131" i="1"/>
  <c r="M131" i="1"/>
  <c r="N130" i="1"/>
  <c r="M130" i="1"/>
  <c r="N129" i="1"/>
  <c r="M129" i="1"/>
  <c r="N128" i="1"/>
  <c r="M128" i="1"/>
  <c r="N127" i="1"/>
  <c r="M127" i="1"/>
  <c r="N126" i="1"/>
  <c r="M126" i="1"/>
  <c r="N125" i="1"/>
  <c r="M125" i="1"/>
  <c r="N124" i="1"/>
  <c r="M124" i="1"/>
  <c r="N123" i="1"/>
  <c r="M123" i="1"/>
  <c r="N122" i="1"/>
  <c r="M122" i="1"/>
  <c r="N121" i="1"/>
  <c r="N120" i="1"/>
  <c r="N119" i="1"/>
  <c r="M119" i="1"/>
  <c r="N118" i="1"/>
  <c r="M118" i="1"/>
  <c r="N117" i="1"/>
  <c r="M117" i="1"/>
  <c r="N116" i="1"/>
  <c r="M116" i="1"/>
  <c r="N115" i="1"/>
  <c r="M115" i="1"/>
  <c r="N114" i="1"/>
  <c r="M114" i="1"/>
  <c r="N113" i="1"/>
  <c r="M113" i="1"/>
  <c r="N112" i="1"/>
  <c r="M112" i="1"/>
  <c r="N111" i="1"/>
  <c r="M111" i="1"/>
  <c r="N110" i="1"/>
  <c r="M110" i="1"/>
  <c r="N109" i="1"/>
  <c r="M109" i="1"/>
  <c r="N108" i="1"/>
  <c r="M108" i="1"/>
  <c r="N107" i="1"/>
  <c r="M107" i="1"/>
  <c r="N106" i="1"/>
  <c r="M106" i="1"/>
  <c r="N105" i="1"/>
  <c r="M105" i="1"/>
  <c r="N104" i="1"/>
  <c r="M104" i="1"/>
  <c r="N103" i="1"/>
  <c r="M103" i="1"/>
  <c r="N102" i="1"/>
  <c r="M102" i="1"/>
  <c r="N101" i="1"/>
  <c r="M101" i="1"/>
  <c r="N100" i="1"/>
  <c r="M100" i="1"/>
  <c r="N99" i="1"/>
  <c r="M99" i="1"/>
  <c r="N98" i="1"/>
  <c r="M98" i="1"/>
  <c r="N97" i="1"/>
  <c r="M97" i="1"/>
  <c r="N96" i="1"/>
  <c r="N95" i="1"/>
  <c r="M95" i="1"/>
  <c r="N94" i="1"/>
  <c r="M94" i="1"/>
  <c r="N93" i="1"/>
  <c r="M93" i="1"/>
  <c r="N92" i="1"/>
  <c r="M92" i="1"/>
  <c r="N91" i="1"/>
  <c r="M91" i="1"/>
  <c r="N90" i="1"/>
  <c r="M90" i="1"/>
  <c r="N89" i="1"/>
  <c r="M89" i="1"/>
  <c r="N88" i="1"/>
  <c r="M88" i="1"/>
  <c r="N87" i="1"/>
  <c r="M87" i="1"/>
  <c r="N86" i="1"/>
  <c r="M86" i="1"/>
  <c r="N85" i="1"/>
  <c r="M85" i="1"/>
  <c r="N84" i="1"/>
  <c r="M84" i="1"/>
  <c r="N83" i="1"/>
  <c r="M83" i="1"/>
  <c r="N82" i="1"/>
  <c r="M82" i="1"/>
  <c r="N81" i="1"/>
  <c r="M81" i="1"/>
  <c r="N80" i="1"/>
  <c r="M80" i="1"/>
  <c r="N79" i="1"/>
  <c r="M79" i="1"/>
  <c r="N78" i="1"/>
  <c r="M78" i="1"/>
  <c r="N77" i="1"/>
  <c r="M77" i="1"/>
  <c r="N76" i="1"/>
  <c r="M76" i="1"/>
  <c r="N75" i="1"/>
  <c r="M75" i="1"/>
  <c r="N74" i="1"/>
  <c r="M74" i="1"/>
  <c r="N73" i="1"/>
  <c r="M73" i="1"/>
  <c r="N72" i="1"/>
  <c r="M72" i="1"/>
  <c r="N71" i="1"/>
  <c r="M71" i="1"/>
  <c r="N70" i="1"/>
  <c r="M70" i="1"/>
  <c r="N69" i="1"/>
  <c r="M69" i="1"/>
  <c r="N68" i="1"/>
  <c r="M68" i="1"/>
  <c r="N67" i="1"/>
  <c r="M67" i="1"/>
  <c r="N66" i="1"/>
  <c r="M66" i="1"/>
  <c r="N65" i="1"/>
  <c r="M65" i="1"/>
  <c r="N64" i="1"/>
  <c r="M64" i="1"/>
  <c r="N63" i="1"/>
  <c r="M63" i="1"/>
  <c r="N62" i="1"/>
  <c r="M62" i="1"/>
  <c r="N61" i="1"/>
  <c r="M61" i="1"/>
  <c r="N60" i="1"/>
  <c r="M60" i="1"/>
  <c r="N59" i="1"/>
  <c r="M59" i="1"/>
  <c r="N58" i="1"/>
  <c r="M58" i="1"/>
  <c r="N57" i="1"/>
  <c r="M57" i="1"/>
  <c r="N56" i="1"/>
  <c r="M56" i="1"/>
  <c r="N55" i="1"/>
  <c r="M55" i="1"/>
  <c r="N54" i="1"/>
  <c r="M54" i="1"/>
  <c r="N53" i="1"/>
  <c r="M53" i="1"/>
  <c r="N52" i="1"/>
  <c r="M52" i="1"/>
  <c r="N51" i="1"/>
  <c r="N50" i="1"/>
  <c r="N49" i="1"/>
  <c r="N48" i="1"/>
  <c r="M48" i="1"/>
  <c r="N47" i="1"/>
  <c r="M47" i="1"/>
  <c r="N46" i="1"/>
  <c r="M46" i="1"/>
  <c r="N45" i="1"/>
  <c r="M45" i="1"/>
  <c r="N44" i="1"/>
  <c r="M44" i="1"/>
  <c r="N43" i="1"/>
  <c r="M43" i="1"/>
  <c r="N42" i="1"/>
  <c r="M42" i="1"/>
  <c r="N41" i="1"/>
  <c r="M41" i="1"/>
  <c r="N40" i="1"/>
  <c r="M40" i="1"/>
  <c r="N39" i="1"/>
  <c r="M39" i="1"/>
  <c r="N38" i="1"/>
  <c r="M38" i="1"/>
  <c r="N37" i="1"/>
  <c r="M37" i="1"/>
  <c r="N36" i="1"/>
  <c r="M36" i="1"/>
  <c r="N35" i="1"/>
  <c r="M35" i="1"/>
  <c r="N34" i="1"/>
  <c r="M34" i="1"/>
  <c r="N33" i="1"/>
  <c r="M33" i="1"/>
  <c r="N32" i="1"/>
  <c r="M32" i="1"/>
  <c r="N31" i="1"/>
  <c r="M31" i="1"/>
  <c r="N30" i="1"/>
  <c r="M30" i="1"/>
  <c r="N29" i="1"/>
  <c r="M29" i="1"/>
  <c r="N28" i="1"/>
  <c r="M28" i="1"/>
  <c r="N27" i="1"/>
  <c r="N26" i="1"/>
  <c r="M26" i="1"/>
  <c r="N25" i="1"/>
  <c r="N24" i="1"/>
  <c r="M24" i="1"/>
  <c r="N23" i="1"/>
  <c r="M23" i="1"/>
  <c r="N22" i="1"/>
  <c r="M22" i="1"/>
  <c r="N21" i="1"/>
  <c r="M21" i="1"/>
  <c r="N20" i="1"/>
  <c r="M20" i="1"/>
  <c r="N19" i="1"/>
  <c r="M19" i="1"/>
  <c r="N18" i="1"/>
  <c r="M18" i="1"/>
  <c r="N17" i="1"/>
  <c r="M17" i="1"/>
  <c r="N16" i="1"/>
  <c r="M16" i="1"/>
  <c r="N15" i="1"/>
  <c r="M15" i="1"/>
  <c r="N14" i="1"/>
  <c r="M14" i="1"/>
  <c r="N13" i="1"/>
  <c r="M13" i="1"/>
  <c r="N12" i="1"/>
  <c r="M12" i="1"/>
  <c r="N11" i="1"/>
  <c r="M11" i="1"/>
  <c r="N10" i="1"/>
  <c r="M10" i="1"/>
  <c r="N9" i="1"/>
  <c r="M9" i="1"/>
  <c r="N8" i="1"/>
  <c r="M8" i="1"/>
  <c r="N7" i="1"/>
  <c r="M7" i="1"/>
  <c r="N6" i="1"/>
  <c r="M6" i="1"/>
  <c r="N5" i="1"/>
  <c r="M5" i="1"/>
  <c r="N4" i="1"/>
  <c r="M4" i="1"/>
  <c r="N3" i="1"/>
  <c r="M3" i="1"/>
  <c r="N2" i="1"/>
  <c r="M2" i="1"/>
</calcChain>
</file>

<file path=xl/sharedStrings.xml><?xml version="1.0" encoding="utf-8"?>
<sst xmlns="http://schemas.openxmlformats.org/spreadsheetml/2006/main" count="7468" uniqueCount="730">
  <si>
    <t>Survey</t>
  </si>
  <si>
    <t>Site</t>
  </si>
  <si>
    <t>Trail</t>
  </si>
  <si>
    <t>Camera</t>
  </si>
  <si>
    <t>X</t>
  </si>
  <si>
    <t>Y</t>
  </si>
  <si>
    <t>Latitude</t>
  </si>
  <si>
    <t>Longitude</t>
  </si>
  <si>
    <t>Elevation</t>
  </si>
  <si>
    <t>Traffic</t>
  </si>
  <si>
    <t>Start Date</t>
  </si>
  <si>
    <t>End Date</t>
  </si>
  <si>
    <t>Camera Days</t>
  </si>
  <si>
    <t>check days</t>
  </si>
  <si>
    <t>Notes (check word document for more info)</t>
  </si>
  <si>
    <t>Camera -Old Name</t>
  </si>
  <si>
    <t>Fall 2013</t>
  </si>
  <si>
    <t>ASBC</t>
  </si>
  <si>
    <t>Los Cusingos</t>
  </si>
  <si>
    <t>A1-2</t>
  </si>
  <si>
    <t>High</t>
  </si>
  <si>
    <t>Was A1-2 (AE)</t>
  </si>
  <si>
    <t>A2</t>
  </si>
  <si>
    <t>A11-12</t>
  </si>
  <si>
    <t>Luis Angel Finca</t>
  </si>
  <si>
    <t>A9-10</t>
  </si>
  <si>
    <t>Low</t>
  </si>
  <si>
    <t>add, observations without camera days</t>
  </si>
  <si>
    <t>A9-A10</t>
  </si>
  <si>
    <t>A7-8</t>
  </si>
  <si>
    <t>A7-A8</t>
  </si>
  <si>
    <t>Lote Elisa</t>
  </si>
  <si>
    <t>A17-18</t>
  </si>
  <si>
    <t>Granadija Salvaje</t>
  </si>
  <si>
    <t>A13-14</t>
  </si>
  <si>
    <t>A13-A14</t>
  </si>
  <si>
    <t>Fall 2014</t>
  </si>
  <si>
    <t>Unknown</t>
  </si>
  <si>
    <t>A12</t>
  </si>
  <si>
    <t>A8</t>
  </si>
  <si>
    <t>Spring 2013</t>
  </si>
  <si>
    <t>Moderate High</t>
  </si>
  <si>
    <t>Spring 2014</t>
  </si>
  <si>
    <t>A5-6</t>
  </si>
  <si>
    <t>A5</t>
  </si>
  <si>
    <t>as 1/11</t>
  </si>
  <si>
    <t>A13</t>
  </si>
  <si>
    <t>Spring 2015</t>
  </si>
  <si>
    <t>Escondida</t>
  </si>
  <si>
    <t>N1</t>
  </si>
  <si>
    <t>Was 93 days, York Nubes Site (AE)</t>
  </si>
  <si>
    <t>Molina</t>
  </si>
  <si>
    <t>Summer 2012</t>
  </si>
  <si>
    <t>Choders Finca</t>
  </si>
  <si>
    <t>A3-4</t>
  </si>
  <si>
    <t>Was 23, no obs (AE)</t>
  </si>
  <si>
    <t>Bernina Caña</t>
  </si>
  <si>
    <t>A15-16</t>
  </si>
  <si>
    <t>Fall 2015</t>
  </si>
  <si>
    <t>Added, observations but no days (AE)</t>
  </si>
  <si>
    <t>A17-A18</t>
  </si>
  <si>
    <t>Fall 2012</t>
  </si>
  <si>
    <t>Added, obs without camera days (AE)</t>
  </si>
  <si>
    <t>A1-A2</t>
  </si>
  <si>
    <t>Bosque de Agua 2016-2017</t>
  </si>
  <si>
    <t>Bosque de Agua</t>
  </si>
  <si>
    <t>CBBA</t>
  </si>
  <si>
    <t>CBBA1-2</t>
  </si>
  <si>
    <t>Survey was Fall 2016</t>
  </si>
  <si>
    <t>1-2</t>
  </si>
  <si>
    <t>CBBA3-4</t>
  </si>
  <si>
    <t>3-4</t>
  </si>
  <si>
    <t>CBBA5-6</t>
  </si>
  <si>
    <t>5-6</t>
  </si>
  <si>
    <t>CBBA9-10</t>
  </si>
  <si>
    <t>9-10</t>
  </si>
  <si>
    <t>Survey was Spring 2017</t>
  </si>
  <si>
    <t>Survey was Spring 2017, end date was 10/28</t>
  </si>
  <si>
    <t>Survey was Summer 2016</t>
  </si>
  <si>
    <t>Was 63 days, no obs (AE). Survey was Summer 2016</t>
  </si>
  <si>
    <t>CBBA7-8</t>
  </si>
  <si>
    <t>Added, obs without camera days (AE). Survey was Summer 2017</t>
  </si>
  <si>
    <t>7-8</t>
  </si>
  <si>
    <t>Cabo Blanco 2017</t>
  </si>
  <si>
    <t>Cabo Blanco</t>
  </si>
  <si>
    <t>PNC</t>
  </si>
  <si>
    <t>RCB1</t>
  </si>
  <si>
    <t>folder +Camera one 11.26.16 to 4.11.17</t>
  </si>
  <si>
    <t>folder +11_Noviembre 2017 11.15.17-11.30.17</t>
  </si>
  <si>
    <t>folder +12_Diciembre 2017 12.1.17-12.31.17</t>
  </si>
  <si>
    <t>RCB2</t>
  </si>
  <si>
    <t>folder +CB Camara 2 - EMPTY</t>
  </si>
  <si>
    <t>RCB3</t>
  </si>
  <si>
    <t>folder +11.15.17-12.28.17</t>
  </si>
  <si>
    <t>folder +11.30.16 to 1.5.17</t>
  </si>
  <si>
    <t>RCB4</t>
  </si>
  <si>
    <t>RCB5</t>
  </si>
  <si>
    <t>folder +11.20.16 to 12.22.16</t>
  </si>
  <si>
    <t>folder +12.22.16 to 1.5.17</t>
  </si>
  <si>
    <t>folder +1.5.17 to 2.12.17</t>
  </si>
  <si>
    <t>folder +2.12.17 to 3.12.17</t>
  </si>
  <si>
    <t>folder +3.12.17 to 3.17.17</t>
  </si>
  <si>
    <t>RCB6</t>
  </si>
  <si>
    <t>folder +13 de noviembre - 20 de diciembre 2017</t>
  </si>
  <si>
    <t>Cabo Blanco 2018</t>
  </si>
  <si>
    <t>folder +1_Enero 2018 1.2.18-1.31.18</t>
  </si>
  <si>
    <t>folder +2_Febrero 2018 2.1.18-2.28.18</t>
  </si>
  <si>
    <t>folder +3_Marzo 2018 3.1.18-3.31.18</t>
  </si>
  <si>
    <t>folder +4_Abril 2018 4.1.18-4.30.18</t>
  </si>
  <si>
    <t>folder +5_Mayo 2018 5.1.18-5.31.18</t>
  </si>
  <si>
    <t>folder +6_Junio 2018 6.1.18-6.30.18</t>
  </si>
  <si>
    <t>folder +7_Julio 2018 7.1.18-7.31.18</t>
  </si>
  <si>
    <t>folder +8_Agosto 2018 8.1.18-8.25.18</t>
  </si>
  <si>
    <t>folder +CB Camara 2 - EMPTY, add</t>
  </si>
  <si>
    <t>folder +28 diciembre 2017 -25 enero 2018</t>
  </si>
  <si>
    <t>folder +25 enero-27 febrero 2018</t>
  </si>
  <si>
    <t>folder +27 febrero-28 febrero 2018</t>
  </si>
  <si>
    <t>folder +28 de febrero-12 de marzo 2018</t>
  </si>
  <si>
    <t>folder +3.12.18-4.7.18</t>
  </si>
  <si>
    <t>folder +4.7.18 to 4.10.18</t>
  </si>
  <si>
    <t>folder +4.10.18 to 5.4.18</t>
  </si>
  <si>
    <t>folder +5.4.18 to 5.27.18</t>
  </si>
  <si>
    <t>folder +28 de mayo-25 junio 2018</t>
  </si>
  <si>
    <t>folder +Julio 2018</t>
  </si>
  <si>
    <t>folder +7 noviembre 2017 - 1 marzo 2018</t>
  </si>
  <si>
    <t>folder +13 noviembre 2017-05 marzo 2018</t>
  </si>
  <si>
    <t>folder +5 de marzo al 2 de abril 2018</t>
  </si>
  <si>
    <t>folder +26 febrero al 28 de marzo 2018</t>
  </si>
  <si>
    <t>Fall 2017</t>
  </si>
  <si>
    <t>Was 0, but obs (AE)</t>
  </si>
  <si>
    <t>Spring 2016</t>
  </si>
  <si>
    <t>Spring 2017</t>
  </si>
  <si>
    <t>Spring 2018</t>
  </si>
  <si>
    <t>Summer 2015</t>
  </si>
  <si>
    <t>Summer 2016</t>
  </si>
  <si>
    <t>Chirripo 2019</t>
  </si>
  <si>
    <t>Chirripo</t>
  </si>
  <si>
    <t>El Uran</t>
  </si>
  <si>
    <t>C1-2</t>
  </si>
  <si>
    <t>C1 3.21-7.8.2019</t>
  </si>
  <si>
    <t>C3-4</t>
  </si>
  <si>
    <t>no photos</t>
  </si>
  <si>
    <t>Main</t>
  </si>
  <si>
    <t>C5-6</t>
  </si>
  <si>
    <t>C7-8</t>
  </si>
  <si>
    <t>C9-10</t>
  </si>
  <si>
    <t>Sabanas de Los Leones</t>
  </si>
  <si>
    <t>C11-12</t>
  </si>
  <si>
    <t>C13-14</t>
  </si>
  <si>
    <t>San Jeronimo</t>
  </si>
  <si>
    <t>C15-16</t>
  </si>
  <si>
    <t>c15-c16</t>
  </si>
  <si>
    <t>C17-18</t>
  </si>
  <si>
    <t>C19-20</t>
  </si>
  <si>
    <t>C19 1.2-3.7.2019</t>
  </si>
  <si>
    <t>C20 1.2-4.15.2019</t>
  </si>
  <si>
    <t>Base Crestones</t>
  </si>
  <si>
    <t>C23</t>
  </si>
  <si>
    <t>C25</t>
  </si>
  <si>
    <t>C26</t>
  </si>
  <si>
    <t>c22</t>
  </si>
  <si>
    <t>C1-2R</t>
  </si>
  <si>
    <t>C3-4R</t>
  </si>
  <si>
    <t>Ventisqueros</t>
  </si>
  <si>
    <t>C9-10R</t>
  </si>
  <si>
    <t>Fall 2016</t>
  </si>
  <si>
    <t>observations removed (only 3) AE</t>
  </si>
  <si>
    <t>Was 24 days, no observations (AE)</t>
  </si>
  <si>
    <t>Two cameras, doubled days (AE)</t>
  </si>
  <si>
    <t xml:space="preserve">* old photos put in 2017 </t>
  </si>
  <si>
    <t>low</t>
  </si>
  <si>
    <t>Sabanas de los Leones</t>
  </si>
  <si>
    <t>Was 361 days, extended to 12/26/2014 (AE)</t>
  </si>
  <si>
    <t>c15</t>
  </si>
  <si>
    <t>C1</t>
  </si>
  <si>
    <t>was 1, no obs (AE)</t>
  </si>
  <si>
    <t>CNN1-2</t>
  </si>
  <si>
    <t>C2</t>
  </si>
  <si>
    <t>C3</t>
  </si>
  <si>
    <t>C9</t>
  </si>
  <si>
    <t>was 34, remove observations from data, only 2 tapir and very different coordinates than other C9-10</t>
  </si>
  <si>
    <t>C10</t>
  </si>
  <si>
    <t>Summer 2014</t>
  </si>
  <si>
    <t>was 2/3-3/12</t>
  </si>
  <si>
    <t>was 3 days, no obs (AE)</t>
  </si>
  <si>
    <t>no observations?</t>
  </si>
  <si>
    <t>Summer 2017</t>
  </si>
  <si>
    <t>El Copal</t>
  </si>
  <si>
    <t>EC13-14</t>
  </si>
  <si>
    <t>Was 45 (AE)</t>
  </si>
  <si>
    <t>EC013-014</t>
  </si>
  <si>
    <t>EC301-302</t>
  </si>
  <si>
    <t>El Copal 2016</t>
  </si>
  <si>
    <t>Summer 2013</t>
  </si>
  <si>
    <t>El Copal 2015</t>
  </si>
  <si>
    <t>Kamuk 2018</t>
  </si>
  <si>
    <t>Kamuk</t>
  </si>
  <si>
    <t>K1</t>
  </si>
  <si>
    <t>K01</t>
  </si>
  <si>
    <t>K4</t>
  </si>
  <si>
    <t>K04</t>
  </si>
  <si>
    <t>K6</t>
  </si>
  <si>
    <t>K06</t>
  </si>
  <si>
    <t>K8</t>
  </si>
  <si>
    <t>K08</t>
  </si>
  <si>
    <t>K10</t>
  </si>
  <si>
    <t>K2</t>
  </si>
  <si>
    <t>K02</t>
  </si>
  <si>
    <t>K3</t>
  </si>
  <si>
    <t>K03</t>
  </si>
  <si>
    <t>K5</t>
  </si>
  <si>
    <t>K05</t>
  </si>
  <si>
    <t>K7</t>
  </si>
  <si>
    <t>K07</t>
  </si>
  <si>
    <t>K9</t>
  </si>
  <si>
    <t>K09</t>
  </si>
  <si>
    <t>Fall 2019</t>
  </si>
  <si>
    <t>CT1</t>
  </si>
  <si>
    <t>CT2.1-2.2</t>
  </si>
  <si>
    <t>CT3.1-3.2</t>
  </si>
  <si>
    <t>CT4</t>
  </si>
  <si>
    <t>CT5.1-5.2</t>
  </si>
  <si>
    <t>CT6.1-6.2</t>
  </si>
  <si>
    <t>CT7</t>
  </si>
  <si>
    <t>CT8</t>
  </si>
  <si>
    <t>CT9</t>
  </si>
  <si>
    <t>CT10</t>
  </si>
  <si>
    <t>Kamuk Spring 2019</t>
  </si>
  <si>
    <t>folder +Gira 5 June 16</t>
  </si>
  <si>
    <t>Winter 2019</t>
  </si>
  <si>
    <t>Spring 2019</t>
  </si>
  <si>
    <t>CBQTC</t>
  </si>
  <si>
    <t>CBQTC1</t>
  </si>
  <si>
    <t>CBQTC2</t>
  </si>
  <si>
    <t>CBQTC5</t>
  </si>
  <si>
    <t>CBQTC6</t>
  </si>
  <si>
    <t>CBQTC7</t>
  </si>
  <si>
    <t>CBQTC8</t>
  </si>
  <si>
    <t>La Marta</t>
  </si>
  <si>
    <t>LM2</t>
  </si>
  <si>
    <t>LM4-5</t>
  </si>
  <si>
    <t>LM1-2</t>
  </si>
  <si>
    <t>was 160, no obs (AE)</t>
  </si>
  <si>
    <t>Helecho Azul</t>
  </si>
  <si>
    <t>LM3</t>
  </si>
  <si>
    <t>Paso del Jaguar Este</t>
  </si>
  <si>
    <t>Fila Marta</t>
  </si>
  <si>
    <t>Was 47, no obs (AE)</t>
  </si>
  <si>
    <t>LM5</t>
  </si>
  <si>
    <t>LM6-7</t>
  </si>
  <si>
    <t>wrong years, change to 2014-2015 (AE)</t>
  </si>
  <si>
    <t>Questionable, only 1 ocelot (AE)</t>
  </si>
  <si>
    <t>NA</t>
  </si>
  <si>
    <t>Osa Campanario</t>
  </si>
  <si>
    <t>Bauhinia</t>
  </si>
  <si>
    <t>Q1-2</t>
  </si>
  <si>
    <t>QERC1-2</t>
  </si>
  <si>
    <t>Q3</t>
  </si>
  <si>
    <t>QERC3</t>
  </si>
  <si>
    <t>Kiosko</t>
  </si>
  <si>
    <t>Q4</t>
  </si>
  <si>
    <t>QERC4</t>
  </si>
  <si>
    <t>Q5-6</t>
  </si>
  <si>
    <t>QERC5-6</t>
  </si>
  <si>
    <t>Q7</t>
  </si>
  <si>
    <t>QERC7</t>
  </si>
  <si>
    <t>Camino Publico</t>
  </si>
  <si>
    <t>Q8</t>
  </si>
  <si>
    <t>QERC8</t>
  </si>
  <si>
    <t>Campana</t>
  </si>
  <si>
    <t>Q9</t>
  </si>
  <si>
    <t>QERC9</t>
  </si>
  <si>
    <t>Q10</t>
  </si>
  <si>
    <t>QERC10</t>
  </si>
  <si>
    <t>was 2/4/2017, obs before and match manual days (AE)</t>
  </si>
  <si>
    <t>CHECK: Photos only in July</t>
  </si>
  <si>
    <t>CHECK: Photos only in Sept and Oct</t>
  </si>
  <si>
    <t>CHECK: Photos only 8/14 and 9/12</t>
  </si>
  <si>
    <t>was 5/27-7/30 with 92 days, obs (AE)</t>
  </si>
  <si>
    <t>start date was 6/23/2017 with 66 days, obs before (AE)</t>
  </si>
  <si>
    <t>PILA</t>
  </si>
  <si>
    <t>Valle de Silencio</t>
  </si>
  <si>
    <t>PILA01</t>
  </si>
  <si>
    <t>PILA02</t>
  </si>
  <si>
    <t>PILA03</t>
  </si>
  <si>
    <t>PILA04</t>
  </si>
  <si>
    <t>PILA05</t>
  </si>
  <si>
    <t>Fall 2018</t>
  </si>
  <si>
    <t>folder +(8) 9-24-2018 to 2-12-2019</t>
  </si>
  <si>
    <t>PILA06</t>
  </si>
  <si>
    <t>PILA07</t>
  </si>
  <si>
    <t>PILA08</t>
  </si>
  <si>
    <t>PILA09</t>
  </si>
  <si>
    <t>PILA10</t>
  </si>
  <si>
    <t>folder +(9) 12-05-2019</t>
  </si>
  <si>
    <t>PILA 2019</t>
  </si>
  <si>
    <t>folder +10 (24-06-2019)</t>
  </si>
  <si>
    <t>Summer 2018</t>
  </si>
  <si>
    <t>PN Carara</t>
  </si>
  <si>
    <t>PNC2</t>
  </si>
  <si>
    <t>PNC3</t>
  </si>
  <si>
    <t>PNC4</t>
  </si>
  <si>
    <t>PN Carara 2017</t>
  </si>
  <si>
    <t>PNC1</t>
  </si>
  <si>
    <t>Cam_1-6.29.17-7.12.17</t>
  </si>
  <si>
    <t>cam1-7.26.17-8.13.17</t>
  </si>
  <si>
    <t>Camara1-6.1.17-6.14.17</t>
  </si>
  <si>
    <t>Camara_1-7.12.17-7.26.17</t>
  </si>
  <si>
    <t>Camara#1-6.14.17-6.21.17</t>
  </si>
  <si>
    <t>cam2-08.13.17-08.29.17</t>
  </si>
  <si>
    <t>Cam_2-6.29.17-6.30.17</t>
  </si>
  <si>
    <t>cam2-7.26.17-8.13.17</t>
  </si>
  <si>
    <t>Camara_2-7.12.17-7.15.17</t>
  </si>
  <si>
    <t>Camara#2-6.14.17-6.29.17</t>
  </si>
  <si>
    <t>cam3-08.13.17-08.29.17</t>
  </si>
  <si>
    <t>cam3-7.26.17-8.13.17</t>
  </si>
  <si>
    <t>Camara_3-7.12.17-7.26.17</t>
  </si>
  <si>
    <t>Camara#3-6.14.17-6.28.17</t>
  </si>
  <si>
    <t>Cámara PNC 03-12.7.17-12.21.17</t>
  </si>
  <si>
    <t>Cámara PNC 04-9.14.17-12.28.17</t>
  </si>
  <si>
    <t>PN Carara 2018</t>
  </si>
  <si>
    <t>folder +12.26.2017-03.13.2018</t>
  </si>
  <si>
    <t>PNLC</t>
  </si>
  <si>
    <t>La Congreja</t>
  </si>
  <si>
    <t>LC1</t>
  </si>
  <si>
    <t>LC2</t>
  </si>
  <si>
    <t>LC3</t>
  </si>
  <si>
    <t>LC4</t>
  </si>
  <si>
    <t>Sendero Sancho (Agua)</t>
  </si>
  <si>
    <t>Moderate Low</t>
  </si>
  <si>
    <t>CAM 01 - 1.1.17 - 1.29.17</t>
  </si>
  <si>
    <t>CAM 01 1.29.17 - 2.27.17</t>
  </si>
  <si>
    <t>CAM 01 2.27.17-3.30.17</t>
  </si>
  <si>
    <t>CAM 01 3.31.17-4.29.17</t>
  </si>
  <si>
    <t>Summer-Fall 2017</t>
  </si>
  <si>
    <t>CAM 01 - 4.29.17 to 5.29.17</t>
  </si>
  <si>
    <t>CAM 01 5.31.17-7.3.17</t>
  </si>
  <si>
    <t>CAM 1 7.3.17-9.8.17</t>
  </si>
  <si>
    <t>CAM 1 9.8.17-10.8.17</t>
  </si>
  <si>
    <t>Cam 1 10.8.17-11.3.17</t>
  </si>
  <si>
    <t>CAM01 11.27.17-12.26.17</t>
  </si>
  <si>
    <t>Rio Negro</t>
  </si>
  <si>
    <t>CAM 02 - 12.29.16 - 12.29.16</t>
  </si>
  <si>
    <t>ENTERED+CAM 02 1.29.17 - 2.27.17</t>
  </si>
  <si>
    <t>CAM 02 2.27.17-3.30.17</t>
  </si>
  <si>
    <t>CAM 02 3.31.17-4.29.17</t>
  </si>
  <si>
    <t>PNLC 2017</t>
  </si>
  <si>
    <t>CAM 02 4.29.17-5.31.17</t>
  </si>
  <si>
    <t>CAM 2 vids 7.4.17-9.8.17</t>
  </si>
  <si>
    <t>CAM 2 vids 9.8.17-10.8.17</t>
  </si>
  <si>
    <t>Cam 2 vids 10.8.17-11.3.17</t>
  </si>
  <si>
    <t>CAM02 11.27.17-12.22.17</t>
  </si>
  <si>
    <t>Llano los Pumas</t>
  </si>
  <si>
    <t>CAM 03 - 12.29.16 - 1.25.17</t>
  </si>
  <si>
    <t>ENTERED+CAM 03 1.29.17 - 2.27.17</t>
  </si>
  <si>
    <t>CAM 03 2.27.17-3.30.17</t>
  </si>
  <si>
    <t>CAM 03 3.31.17-4.29.17</t>
  </si>
  <si>
    <t>CAM 03 4.29.17-5.17.17</t>
  </si>
  <si>
    <t>CAM 03 vids-5.31.17-7.3.17</t>
  </si>
  <si>
    <t>CAM 3 vids 7.8.17-9.8.17</t>
  </si>
  <si>
    <t>CAM 3 vids 9.8.17-10.8.17</t>
  </si>
  <si>
    <t>Cam 3 vids 10.8.17-11.3.17</t>
  </si>
  <si>
    <t>CAM03 vids-11.03.17-12.26.17</t>
  </si>
  <si>
    <t>Llano Guanacaste</t>
  </si>
  <si>
    <t>no photos, duplicate entry, was 62 (AE)</t>
  </si>
  <si>
    <t>ENTERED+CAM 04 1.29.17 - 2.27.17</t>
  </si>
  <si>
    <t>CAM 04 2.27.17-3.31.17</t>
  </si>
  <si>
    <t>CAM 04 3.30.17-4.29.17</t>
  </si>
  <si>
    <t>CAM 04 4.29.17-5.31.17</t>
  </si>
  <si>
    <t>CAM 04 5.31.17-7.3.17</t>
  </si>
  <si>
    <t>CAM 4 7.3.17-9.2.17</t>
  </si>
  <si>
    <t>CAM 4 vids 9.8.17-10.8.17</t>
  </si>
  <si>
    <t>LC5</t>
  </si>
  <si>
    <t>no photos, was 177, duplicate entry (AE)</t>
  </si>
  <si>
    <t>Quebrada Grande</t>
  </si>
  <si>
    <t>ENTERED+CAM 05 1.29.17 - 2.27.17</t>
  </si>
  <si>
    <t>CAM 05 2.27.17-3.30.17</t>
  </si>
  <si>
    <t>CAM 05 3.31.17-4.27.17</t>
  </si>
  <si>
    <t>CAM 05 4.29.17-5.31.17</t>
  </si>
  <si>
    <t>CAM 05 5.31.17-7.3.17</t>
  </si>
  <si>
    <t>CAM 5 7.3.17-9.8.17</t>
  </si>
  <si>
    <t>CAM 5 9.17.17-9.29.17</t>
  </si>
  <si>
    <t>Cam 5 10.8.17-11.3.17</t>
  </si>
  <si>
    <t>CAM05 11.3.17-12.26.17</t>
  </si>
  <si>
    <t>CAM 01 Sendero Sancho-12.28.17-2.3.18</t>
  </si>
  <si>
    <t>PNLC 2018</t>
  </si>
  <si>
    <t>CAM 01 Sendero Sancho-2.3.18-4.5.18</t>
  </si>
  <si>
    <t>CAM 01- Sendero Sancho-4.5.18-4.13.18</t>
  </si>
  <si>
    <t>CAM 01 5.23.18-7.7.18</t>
  </si>
  <si>
    <t>CAM 01 7.7.18-8.7.18</t>
  </si>
  <si>
    <t>CAM 01 9.8.18-9.29.18</t>
  </si>
  <si>
    <t>CAM 01 10.20.18-12.30.18</t>
  </si>
  <si>
    <t>CAM 02 Río Negro (1970 dates)-12.30-1.6</t>
  </si>
  <si>
    <t>CAM 02 Rio Negro-2.3.18-4.4.18</t>
  </si>
  <si>
    <t>CAM 02 5.20.18-7.7.18</t>
  </si>
  <si>
    <t>CAM 02 7.7.18-8.6.18</t>
  </si>
  <si>
    <t>CAM 002 8.6.18-9.6.18</t>
  </si>
  <si>
    <t>CAM 02 9.6.18-10.16.18</t>
  </si>
  <si>
    <t>CAM 02 ENTERED-10.16.18-12.31.18</t>
  </si>
  <si>
    <t>CAM 03 Llano los Pumas-2.3.18-4.4.18</t>
  </si>
  <si>
    <t>CAM 03 5.20.18-7.7.18</t>
  </si>
  <si>
    <t>CAM 03 9.6.18-10.16.18</t>
  </si>
  <si>
    <t>CAM 04 Llano Guanacaste-1.3.18-2.3.18</t>
  </si>
  <si>
    <t>CAM 04 Llano Guanacaste-2.3.18-4.4.18</t>
  </si>
  <si>
    <t>CAM 04 5.23.18-7.7.18</t>
  </si>
  <si>
    <t>CAM 004 7.7.18-9.6.18</t>
  </si>
  <si>
    <t>CAM 05 Quebrada Grande-2.4.18-3.5.18</t>
  </si>
  <si>
    <t>CAM 05- Quebrada Grande 4.4.18-5.20.18</t>
  </si>
  <si>
    <t>CAM 05 5.20.18-7.7.18</t>
  </si>
  <si>
    <t>CAM 005 7.7.18-9.6.18</t>
  </si>
  <si>
    <t>CAM 05 9.6.18-10.16.18</t>
  </si>
  <si>
    <t>PNLC 2019</t>
  </si>
  <si>
    <t>CAM 01 vids-1.2.19-1.29.19</t>
  </si>
  <si>
    <t>CAM 01 1.29.19-2.16.19</t>
  </si>
  <si>
    <t>CAM 01 Sendero Agua 2.17.19-3.12.19</t>
  </si>
  <si>
    <t>CAM 01 Sendero Agua 3.13.19-4.21.19</t>
  </si>
  <si>
    <t>CAM 01 Sendero El Agua 4.21.19-5.30.19</t>
  </si>
  <si>
    <t>CAM 02 1.1.19-1.13.19</t>
  </si>
  <si>
    <t>CAM 02 1.13.19-2.16.19</t>
  </si>
  <si>
    <t>CAM 02 Rio Negro 2.16.19-3.13.19</t>
  </si>
  <si>
    <t>CAM 02 Río Negro 4.19.19-4.22.19</t>
  </si>
  <si>
    <t>CAM 03 1.1.19-1.13.19</t>
  </si>
  <si>
    <t>CAM 03 1.13.19-2.16.19</t>
  </si>
  <si>
    <t>CAM 03 Llano los pumas 2.16.19-3.13.19</t>
  </si>
  <si>
    <t>CAM 3 Llano los pumas 3.13.19-4.19.19</t>
  </si>
  <si>
    <t>CAM 03 Llano Los Pumas 4.19.19-5.28.19</t>
  </si>
  <si>
    <t>CAM 04 1.1.19-1.13.19</t>
  </si>
  <si>
    <t>CAM 4 LLano el guanacaste 3.13.19-4.19.19</t>
  </si>
  <si>
    <t>Cam 05 Llano El Guanacaste 4.19.19-5.22.19</t>
  </si>
  <si>
    <t>CAM 04 Quebrada Castellana 4.19.19-5.28.19</t>
  </si>
  <si>
    <t>Was 34, Duplicate (AE)</t>
  </si>
  <si>
    <t>Savegre Valley</t>
  </si>
  <si>
    <t>New West</t>
  </si>
  <si>
    <t>West6</t>
  </si>
  <si>
    <t>West4</t>
  </si>
  <si>
    <t>West3</t>
  </si>
  <si>
    <t>West23</t>
  </si>
  <si>
    <t>West2</t>
  </si>
  <si>
    <t>Fall 2011</t>
  </si>
  <si>
    <t>Vueltas</t>
  </si>
  <si>
    <t>Vueltas27</t>
  </si>
  <si>
    <t>Spring 2012</t>
  </si>
  <si>
    <t>was 6/6/2017, changed to 9/6/2017 bc duplicate (AE)</t>
  </si>
  <si>
    <t>Summer 2011</t>
  </si>
  <si>
    <t>Summer 2019</t>
  </si>
  <si>
    <t>CAM 27-7.23.18-6.13.19</t>
  </si>
  <si>
    <t>Vueltas26</t>
  </si>
  <si>
    <t>was 9/6</t>
  </si>
  <si>
    <t>CAM 26-7.23.18-6.13.19</t>
  </si>
  <si>
    <t>Torres</t>
  </si>
  <si>
    <t>Torres8</t>
  </si>
  <si>
    <t>Torres7</t>
  </si>
  <si>
    <t>Spring 2011</t>
  </si>
  <si>
    <t>Summer 2010</t>
  </si>
  <si>
    <t>Torres31</t>
  </si>
  <si>
    <t>Torres22</t>
  </si>
  <si>
    <t>Torres 22-6.15.19-7.4.19</t>
  </si>
  <si>
    <t>Torres21</t>
  </si>
  <si>
    <t>Torres 21-6.15.19-7.4.19</t>
  </si>
  <si>
    <t>Torres20</t>
  </si>
  <si>
    <t>Torres19</t>
  </si>
  <si>
    <t>Manantial</t>
  </si>
  <si>
    <t>Man2</t>
  </si>
  <si>
    <t>La Lira</t>
  </si>
  <si>
    <t>Lira5</t>
  </si>
  <si>
    <t>5b</t>
  </si>
  <si>
    <t>Robles</t>
  </si>
  <si>
    <t>Lira1</t>
  </si>
  <si>
    <t>Lagos</t>
  </si>
  <si>
    <t>Lagos6</t>
  </si>
  <si>
    <t>Lagos 6-6.15.19-7.4.19</t>
  </si>
  <si>
    <t>Lagos5</t>
  </si>
  <si>
    <t>Lagos 5-6.15.19-7.4.19</t>
  </si>
  <si>
    <t>Lagos4</t>
  </si>
  <si>
    <t>Lagos 4-6.15.19-7.4.19</t>
  </si>
  <si>
    <t>Lagos3</t>
  </si>
  <si>
    <t>Lagos 3-6.15.19-7.4.19</t>
  </si>
  <si>
    <t>Lagos26</t>
  </si>
  <si>
    <t>Lagos25</t>
  </si>
  <si>
    <t>Lagos24</t>
  </si>
  <si>
    <t>Lagos23</t>
  </si>
  <si>
    <t>Lagos22</t>
  </si>
  <si>
    <t>Finca</t>
  </si>
  <si>
    <t>Finca33</t>
  </si>
  <si>
    <t>Finca32</t>
  </si>
  <si>
    <t>Finca3</t>
  </si>
  <si>
    <t>Finca28</t>
  </si>
  <si>
    <t>Finca23</t>
  </si>
  <si>
    <t>Finca22</t>
  </si>
  <si>
    <t>Finca20</t>
  </si>
  <si>
    <t>Finca17</t>
  </si>
  <si>
    <t>Dantica</t>
  </si>
  <si>
    <t>Dantica29</t>
  </si>
  <si>
    <t>Dantica28</t>
  </si>
  <si>
    <t>Dantica15</t>
  </si>
  <si>
    <t>Dantica14</t>
  </si>
  <si>
    <t>Dantica13</t>
  </si>
  <si>
    <t>Sendero de la Danta</t>
  </si>
  <si>
    <t>Danta4</t>
  </si>
  <si>
    <t>4b</t>
  </si>
  <si>
    <t>Cumbre</t>
  </si>
  <si>
    <t>CUM27</t>
  </si>
  <si>
    <t>CUM26</t>
  </si>
  <si>
    <t>CUM25</t>
  </si>
  <si>
    <t>CUM24</t>
  </si>
  <si>
    <t>CUM23</t>
  </si>
  <si>
    <t>CUM21</t>
  </si>
  <si>
    <t>Chanchos</t>
  </si>
  <si>
    <t>Chanchos33</t>
  </si>
  <si>
    <t>Chanchos31</t>
  </si>
  <si>
    <t>Chanchos30</t>
  </si>
  <si>
    <t>Chanchos29</t>
  </si>
  <si>
    <t>Chanchos28</t>
  </si>
  <si>
    <t>Cataratas</t>
  </si>
  <si>
    <t>Catar6</t>
  </si>
  <si>
    <t>6b</t>
  </si>
  <si>
    <t>Waterfall</t>
  </si>
  <si>
    <t>6a</t>
  </si>
  <si>
    <t>Catar5</t>
  </si>
  <si>
    <t>Catar4</t>
  </si>
  <si>
    <t>4a</t>
  </si>
  <si>
    <t>Catar32</t>
  </si>
  <si>
    <t>Catar15</t>
  </si>
  <si>
    <t>Catar13</t>
  </si>
  <si>
    <t>Camp</t>
  </si>
  <si>
    <t>Camp4</t>
  </si>
  <si>
    <t>Camp3</t>
  </si>
  <si>
    <t>Camp26</t>
  </si>
  <si>
    <t>Camp 26- 6.13 to 7.3.19</t>
  </si>
  <si>
    <t>Camp25</t>
  </si>
  <si>
    <t>Camp 25- 6.13 to 7.3.19</t>
  </si>
  <si>
    <t>Camp24</t>
  </si>
  <si>
    <t>Camp 24- 6.13 to 7.3.19</t>
  </si>
  <si>
    <t>Camp23</t>
  </si>
  <si>
    <t>Camp 23- 6.13 to 7.3.19</t>
  </si>
  <si>
    <t>Camp20</t>
  </si>
  <si>
    <t>Campamento</t>
  </si>
  <si>
    <t>Camp2</t>
  </si>
  <si>
    <t>Camp18</t>
  </si>
  <si>
    <t>Camp17</t>
  </si>
  <si>
    <t>Camp16</t>
  </si>
  <si>
    <t>Camp13</t>
  </si>
  <si>
    <t>Camp11</t>
  </si>
  <si>
    <t>Ojo de Agua</t>
  </si>
  <si>
    <t>9c</t>
  </si>
  <si>
    <t>Quebrada</t>
  </si>
  <si>
    <t>9a</t>
  </si>
  <si>
    <t>Was 5 days, no obs (AE)</t>
  </si>
  <si>
    <t>8R</t>
  </si>
  <si>
    <t>5R</t>
  </si>
  <si>
    <t>Water Pipe</t>
  </si>
  <si>
    <t>5a</t>
  </si>
  <si>
    <t>Was 9, no obs (AE)</t>
  </si>
  <si>
    <t>duplicate</t>
  </si>
  <si>
    <t>Was 73, duplicate (AE)</t>
  </si>
  <si>
    <t>Was 14, no obs (AE)</t>
  </si>
  <si>
    <t>Was 19 days, no obs (AE)</t>
  </si>
  <si>
    <t>9b</t>
  </si>
  <si>
    <t>Camera 42-7.20.18-8.21.18</t>
  </si>
  <si>
    <t>Camera 42-12.18.18-1.30.19</t>
  </si>
  <si>
    <t>was 3/31</t>
  </si>
  <si>
    <t>Camera 42-1.30.19-2.15.19</t>
  </si>
  <si>
    <t>Camera 42-2.22.19</t>
  </si>
  <si>
    <t>Camera 42-3.15.19-3.21.19</t>
  </si>
  <si>
    <t>Camera 42-3.29-4.19.2019</t>
  </si>
  <si>
    <t>Robles 42 - 2019-07-03 - 2019-07-16</t>
  </si>
  <si>
    <t>was 12/31</t>
  </si>
  <si>
    <t>Camera 41-7.20.18-12.18.18</t>
  </si>
  <si>
    <t>Camera 41-12.18.18-1.30.19</t>
  </si>
  <si>
    <t>Camera 41-1.30.19-2.22.19</t>
  </si>
  <si>
    <t>Camera 41-3.14.19-3.29.19</t>
  </si>
  <si>
    <t>Robles 41 - 2019-07-03 - 2019-08-16</t>
  </si>
  <si>
    <t>CHECK</t>
  </si>
  <si>
    <t>Camera 7-7.20.18-12.18.18</t>
  </si>
  <si>
    <t>Camera 7-12.18.18-1.28.19</t>
  </si>
  <si>
    <t>Camera 7-1.30.19-2.22.19</t>
  </si>
  <si>
    <t>Camera 7-2.22.19-3.14.19</t>
  </si>
  <si>
    <t>Camera 7-4.11-6.12.2019</t>
  </si>
  <si>
    <t>Was 5/14/2013 with 64 days (AE)</t>
  </si>
  <si>
    <t>Robles Cam 7 4.11-6.12.2019</t>
  </si>
  <si>
    <t>Robles 7 - 2019-07-03 - 2019-08-16</t>
  </si>
  <si>
    <t>Cam 43 7.20.18-8.4.18</t>
  </si>
  <si>
    <t>Cam 43 8.6.18-8.26.18</t>
  </si>
  <si>
    <t>Cam 43 8.27.18-10.19.18</t>
  </si>
  <si>
    <t>Cam 43 10.19.18-11.15.18</t>
  </si>
  <si>
    <t>Cam 43 11.15.18-12.3.18</t>
  </si>
  <si>
    <t>Cam 43 12.4.18-12.18.18</t>
  </si>
  <si>
    <t>Cam 43 12.18.18-12.19.18</t>
  </si>
  <si>
    <t>Cam 43 12.31.18-1.1.19</t>
  </si>
  <si>
    <t>Cam 43 1.7.19-1.30.19</t>
  </si>
  <si>
    <t>Camera 43-3.29-4.7.2019</t>
  </si>
  <si>
    <t>Camera 43-2019-01-30 - 2019-02-22</t>
  </si>
  <si>
    <t>Camera 43-2019-02-22 - 2019-03-14</t>
  </si>
  <si>
    <t>Camera 43-2019-03-14 - 2019-03-29</t>
  </si>
  <si>
    <t>Camera 43-4.11.19-6.12.19</t>
  </si>
  <si>
    <t>Robles 43 - 2019-07-03 - 2019-08-16</t>
  </si>
  <si>
    <t>Was 5/14/2013 with 2019 days, duplicate (AE)</t>
  </si>
  <si>
    <t>Questionable, only 2 puma entries (AE)</t>
  </si>
  <si>
    <t>Camera one 12.19.18-12.30.18</t>
  </si>
  <si>
    <t>Camera one 3.27.19-3.29.19</t>
  </si>
  <si>
    <t>Camera one 3.29.19 to 4.11.19</t>
  </si>
  <si>
    <t>Camera one 4.11.19 to 4.29.19</t>
  </si>
  <si>
    <t>was 6/35</t>
  </si>
  <si>
    <t>Robles 1 - 2019-07-03 - 2019-08-16</t>
  </si>
  <si>
    <t>Camera 2-2.22.18-3.14.18</t>
  </si>
  <si>
    <t>Camera 2-03.29.19-04.11.19</t>
  </si>
  <si>
    <t>Camera 2-4.11.19-5.23.19</t>
  </si>
  <si>
    <t>was 41, only 1 obs (AE)</t>
  </si>
  <si>
    <t>Robles Shortcut</t>
  </si>
  <si>
    <t>Robles 2 - 2019-08-12 - 2019-08-16</t>
  </si>
  <si>
    <t>was 9/19</t>
  </si>
  <si>
    <t>Camera 40-7.20.18-12.18.18</t>
  </si>
  <si>
    <t>End date was 3/28/2017, obs btwn 3/28-5/25 (AE)</t>
  </si>
  <si>
    <t>Camera 40-3.14.19-3.22.19</t>
  </si>
  <si>
    <t>Camera 40-3.29.19 to 4.11.19</t>
  </si>
  <si>
    <t>Robles 40 - 2019-07-03 - 2019-08-16</t>
  </si>
  <si>
    <t>Camera 6-12.18.18-12.21.18</t>
  </si>
  <si>
    <t>was 8/14/13 with 306 days (AE)</t>
  </si>
  <si>
    <t>was 3/28</t>
  </si>
  <si>
    <t>Camera 6-3.14.19-3.23.19</t>
  </si>
  <si>
    <t>Camera 6-4.11.19 to 5.23.19</t>
  </si>
  <si>
    <t>Tapanti</t>
  </si>
  <si>
    <t>Esperanza</t>
  </si>
  <si>
    <t>T15-16</t>
  </si>
  <si>
    <t>T17-18</t>
  </si>
  <si>
    <t>T21-22</t>
  </si>
  <si>
    <t>T19-20</t>
  </si>
  <si>
    <t>Power Line</t>
  </si>
  <si>
    <t>T26</t>
  </si>
  <si>
    <t>T23-24</t>
  </si>
  <si>
    <t>T25</t>
  </si>
  <si>
    <t>North Entrance</t>
  </si>
  <si>
    <t>T13-14</t>
  </si>
  <si>
    <t>T7-8</t>
  </si>
  <si>
    <t>T3-4</t>
  </si>
  <si>
    <t>T5-6</t>
  </si>
  <si>
    <t>T1-2</t>
  </si>
  <si>
    <t>T9-10</t>
  </si>
  <si>
    <t>T11-12</t>
  </si>
  <si>
    <t>LET17-LRT18</t>
  </si>
  <si>
    <t>LET22-T21</t>
  </si>
  <si>
    <t>Durman Esquivel</t>
  </si>
  <si>
    <t>T07-08</t>
  </si>
  <si>
    <t>T03-04</t>
  </si>
  <si>
    <t>Destierro</t>
  </si>
  <si>
    <t>T09-10</t>
  </si>
  <si>
    <t>Diablo Trail</t>
  </si>
  <si>
    <t>T101-102</t>
  </si>
  <si>
    <t>T103</t>
  </si>
  <si>
    <t>T104</t>
  </si>
  <si>
    <t>T105</t>
  </si>
  <si>
    <t>Tapanti 2015</t>
  </si>
  <si>
    <t>T106</t>
  </si>
  <si>
    <t>T107</t>
  </si>
  <si>
    <t>T3</t>
  </si>
  <si>
    <t>T4</t>
  </si>
  <si>
    <t>T5</t>
  </si>
  <si>
    <t>T6</t>
  </si>
  <si>
    <t>T7</t>
  </si>
  <si>
    <t>T8</t>
  </si>
  <si>
    <t>Was 83 days, paired camera with T3 (AE)</t>
  </si>
  <si>
    <t>Was 17 days, paired cameras with T1 (AE)</t>
  </si>
  <si>
    <t>T2</t>
  </si>
  <si>
    <t>was 83, duplicate</t>
  </si>
  <si>
    <t>was 7/7 and 73 days, combined  with T2 above. Paired cameras (AE)</t>
  </si>
  <si>
    <t>T1</t>
  </si>
  <si>
    <t>Was 10/25/2018 start and 3/16/2018 end, error in year and combined (AE)</t>
  </si>
  <si>
    <t>was 1972, duplicate</t>
  </si>
  <si>
    <t>CHECK, no photos (AE)</t>
  </si>
  <si>
    <t>Combined with 10-25 to 4-15, was 35 (AE)</t>
  </si>
  <si>
    <t>was 41 days, Duplicate, paired with T1 (AE)</t>
  </si>
  <si>
    <t>combined to match T1</t>
  </si>
  <si>
    <t>CHECK, no photos, duplicate (AE)</t>
  </si>
  <si>
    <t>was 47, duplicate combined with above</t>
  </si>
  <si>
    <t>was 40 days, duplicate paired with T2 (AE)</t>
  </si>
  <si>
    <t>was 34, duplicate paired with T2 (AE)</t>
  </si>
  <si>
    <t>Was 132, paired camera with T3 (AE)</t>
  </si>
  <si>
    <t>Check, dates don't match (AE)</t>
  </si>
  <si>
    <t>was 3/12 end date, obs extended (AE)</t>
  </si>
  <si>
    <t>Was 294, paired camera with 7 (AE)</t>
  </si>
  <si>
    <t>9.7175028°</t>
  </si>
  <si>
    <t>was 1 day, no obs (AE)</t>
  </si>
  <si>
    <t>was 15, duplicate</t>
  </si>
  <si>
    <t>end date was 6/10/2017</t>
  </si>
  <si>
    <t>duplicate, combined with above</t>
  </si>
  <si>
    <t>was 6/10/2017</t>
  </si>
  <si>
    <t>Was 215, paired camera with 7 (AE)</t>
  </si>
  <si>
    <t>was 56, combined</t>
  </si>
  <si>
    <t>Was 56, paired camera with 7 (AE)</t>
  </si>
  <si>
    <t>T15</t>
  </si>
  <si>
    <t>Villa Mills</t>
  </si>
  <si>
    <t>VM13</t>
  </si>
  <si>
    <t>VM14</t>
  </si>
  <si>
    <t>VM15</t>
  </si>
  <si>
    <t>was 6/18 (obs to 28th) AE</t>
  </si>
  <si>
    <t>VM28</t>
  </si>
  <si>
    <t>Robles 6 - 2019-07-03 - 2019-08-12</t>
  </si>
  <si>
    <t>added, obs without camera days (AE)</t>
  </si>
  <si>
    <t>added, obs with no camera days (AE)</t>
  </si>
  <si>
    <t>Summer 2021</t>
  </si>
  <si>
    <t>Sum of Camera Days</t>
  </si>
  <si>
    <t>Grand Total</t>
  </si>
  <si>
    <t>Sites</t>
  </si>
  <si>
    <t>Trails</t>
  </si>
  <si>
    <t>Surveys</t>
  </si>
  <si>
    <t>Cameras</t>
  </si>
  <si>
    <t>Copal</t>
  </si>
  <si>
    <t>Marta</t>
  </si>
  <si>
    <t>8old</t>
  </si>
  <si>
    <t>PNLC 2016</t>
  </si>
  <si>
    <t>A11-A12</t>
  </si>
  <si>
    <t>A15-A16</t>
  </si>
  <si>
    <t>A5-A6</t>
  </si>
  <si>
    <t>C24</t>
  </si>
  <si>
    <t>PLNC</t>
  </si>
  <si>
    <t>Via Mills</t>
  </si>
  <si>
    <t>Chancos28</t>
  </si>
  <si>
    <t>Chancos29</t>
  </si>
  <si>
    <t>Chancos30</t>
  </si>
  <si>
    <t>Chancos31</t>
  </si>
  <si>
    <t>Chancos33</t>
  </si>
  <si>
    <t>CN1-2</t>
  </si>
  <si>
    <t>CN3-4</t>
  </si>
  <si>
    <t>CN9-10</t>
  </si>
  <si>
    <t>CT2-2.2</t>
  </si>
  <si>
    <t>TN3-4</t>
  </si>
  <si>
    <t>TN7-8</t>
  </si>
  <si>
    <t>TN9-10</t>
  </si>
  <si>
    <t>(blank)</t>
  </si>
  <si>
    <t>marta + copal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</si>
</sst>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rgb="FF000000"/>
      <name val="Calibri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sz val="11"/>
      <color rgb="FFFF0000"/>
      <name val="Calibri"/>
      <family val="2"/>
    </font>
    <font>
      <sz val="11"/>
      <color theme="1"/>
      <name val="Calibri"/>
      <family val="2"/>
    </font>
    <font>
      <sz val="11"/>
      <color rgb="FF0070C0"/>
      <name val="Calibri"/>
      <family val="2"/>
    </font>
    <font>
      <sz val="12"/>
      <color rgb="FF000000"/>
      <name val="Calibri"/>
      <family val="2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7CAAC"/>
        <bgColor rgb="FFF7CAAC"/>
      </patternFill>
    </fill>
    <fill>
      <patternFill patternType="solid">
        <fgColor rgb="FFDEEAF6"/>
        <bgColor rgb="FFDEEAF6"/>
      </patternFill>
    </fill>
    <fill>
      <patternFill patternType="solid">
        <fgColor rgb="FFFFFF00"/>
        <bgColor rgb="FFFFFF00"/>
      </patternFill>
    </fill>
  </fills>
  <borders count="9">
    <border>
      <left/>
      <right/>
      <top/>
      <bottom/>
      <diagonal/>
    </border>
    <border>
      <left/>
      <right/>
      <top/>
      <bottom/>
      <diagonal/>
    </border>
    <border>
      <left/>
      <right/>
      <top/>
      <bottom style="thin">
        <color rgb="FF000000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/>
      <bottom/>
      <diagonal/>
    </border>
    <border>
      <left style="thin">
        <color rgb="FF999999"/>
      </left>
      <right style="thin">
        <color rgb="FF999999"/>
      </right>
      <top/>
      <bottom/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</borders>
  <cellStyleXfs count="1">
    <xf numFmtId="0" fontId="0" fillId="0" borderId="0"/>
  </cellStyleXfs>
  <cellXfs count="46">
    <xf numFmtId="0" fontId="0" fillId="0" borderId="0" xfId="0" applyFont="1" applyAlignment="1"/>
    <xf numFmtId="0" fontId="1" fillId="2" borderId="1" xfId="0" applyFont="1" applyFill="1" applyBorder="1"/>
    <xf numFmtId="0" fontId="1" fillId="2" borderId="1" xfId="0" applyFont="1" applyFill="1" applyBorder="1" applyAlignment="1">
      <alignment horizontal="left"/>
    </xf>
    <xf numFmtId="0" fontId="1" fillId="2" borderId="2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left"/>
    </xf>
    <xf numFmtId="0" fontId="2" fillId="2" borderId="1" xfId="0" applyFont="1" applyFill="1" applyBorder="1"/>
    <xf numFmtId="0" fontId="2" fillId="0" borderId="0" xfId="0" applyFont="1"/>
    <xf numFmtId="0" fontId="2" fillId="0" borderId="0" xfId="0" applyFont="1" applyAlignment="1">
      <alignment horizontal="left"/>
    </xf>
    <xf numFmtId="0" fontId="2" fillId="0" borderId="0" xfId="0" applyFont="1" applyAlignment="1">
      <alignment horizontal="right"/>
    </xf>
    <xf numFmtId="14" fontId="2" fillId="0" borderId="0" xfId="0" applyNumberFormat="1" applyFont="1"/>
    <xf numFmtId="0" fontId="2" fillId="0" borderId="0" xfId="0" applyFont="1" applyAlignment="1">
      <alignment horizontal="center"/>
    </xf>
    <xf numFmtId="16" fontId="2" fillId="0" borderId="0" xfId="0" quotePrefix="1" applyNumberFormat="1" applyFont="1" applyAlignment="1">
      <alignment horizontal="left"/>
    </xf>
    <xf numFmtId="0" fontId="2" fillId="0" borderId="0" xfId="0" quotePrefix="1" applyFont="1"/>
    <xf numFmtId="0" fontId="3" fillId="0" borderId="0" xfId="0" applyFont="1"/>
    <xf numFmtId="0" fontId="3" fillId="0" borderId="0" xfId="0" applyFont="1" applyAlignment="1">
      <alignment horizontal="left"/>
    </xf>
    <xf numFmtId="0" fontId="3" fillId="0" borderId="0" xfId="0" applyFont="1" applyAlignment="1">
      <alignment horizontal="right"/>
    </xf>
    <xf numFmtId="14" fontId="3" fillId="0" borderId="0" xfId="0" applyNumberFormat="1" applyFont="1"/>
    <xf numFmtId="0" fontId="3" fillId="0" borderId="0" xfId="0" applyFont="1" applyAlignment="1">
      <alignment horizontal="center"/>
    </xf>
    <xf numFmtId="0" fontId="4" fillId="0" borderId="0" xfId="0" applyFont="1"/>
    <xf numFmtId="0" fontId="5" fillId="3" borderId="1" xfId="0" applyFont="1" applyFill="1" applyBorder="1"/>
    <xf numFmtId="0" fontId="5" fillId="3" borderId="1" xfId="0" applyFont="1" applyFill="1" applyBorder="1" applyAlignment="1">
      <alignment horizontal="left"/>
    </xf>
    <xf numFmtId="0" fontId="5" fillId="3" borderId="1" xfId="0" applyFont="1" applyFill="1" applyBorder="1" applyAlignment="1">
      <alignment horizontal="right"/>
    </xf>
    <xf numFmtId="14" fontId="5" fillId="3" borderId="1" xfId="0" applyNumberFormat="1" applyFont="1" applyFill="1" applyBorder="1"/>
    <xf numFmtId="0" fontId="5" fillId="3" borderId="1" xfId="0" applyFont="1" applyFill="1" applyBorder="1" applyAlignment="1">
      <alignment horizontal="center"/>
    </xf>
    <xf numFmtId="0" fontId="5" fillId="0" borderId="0" xfId="0" applyFont="1" applyAlignment="1">
      <alignment horizontal="left"/>
    </xf>
    <xf numFmtId="0" fontId="2" fillId="4" borderId="1" xfId="0" applyFont="1" applyFill="1" applyBorder="1" applyAlignment="1">
      <alignment horizontal="left"/>
    </xf>
    <xf numFmtId="0" fontId="4" fillId="0" borderId="0" xfId="0" applyFont="1" applyAlignment="1">
      <alignment horizontal="left"/>
    </xf>
    <xf numFmtId="0" fontId="4" fillId="0" borderId="0" xfId="0" applyFont="1" applyAlignment="1">
      <alignment horizontal="right"/>
    </xf>
    <xf numFmtId="14" fontId="4" fillId="0" borderId="0" xfId="0" applyNumberFormat="1" applyFont="1"/>
    <xf numFmtId="0" fontId="4" fillId="0" borderId="0" xfId="0" applyFont="1" applyAlignment="1">
      <alignment horizontal="center"/>
    </xf>
    <xf numFmtId="0" fontId="6" fillId="0" borderId="0" xfId="0" applyFont="1" applyAlignment="1">
      <alignment horizontal="right"/>
    </xf>
    <xf numFmtId="0" fontId="3" fillId="4" borderId="1" xfId="0" applyFont="1" applyFill="1" applyBorder="1"/>
    <xf numFmtId="13" fontId="2" fillId="0" borderId="0" xfId="0" applyNumberFormat="1" applyFont="1" applyAlignment="1">
      <alignment horizontal="left"/>
    </xf>
    <xf numFmtId="0" fontId="5" fillId="0" borderId="0" xfId="0" applyFont="1"/>
    <xf numFmtId="0" fontId="7" fillId="0" borderId="0" xfId="0" applyFont="1"/>
    <xf numFmtId="0" fontId="1" fillId="2" borderId="1" xfId="0" applyFont="1" applyFill="1" applyBorder="1" applyAlignment="1">
      <alignment horizontal="right"/>
    </xf>
    <xf numFmtId="0" fontId="0" fillId="0" borderId="3" xfId="0" pivotButton="1" applyFont="1" applyBorder="1" applyAlignment="1"/>
    <xf numFmtId="0" fontId="0" fillId="0" borderId="4" xfId="0" applyFont="1" applyBorder="1" applyAlignment="1"/>
    <xf numFmtId="0" fontId="0" fillId="0" borderId="3" xfId="0" applyFont="1" applyBorder="1" applyAlignment="1"/>
    <xf numFmtId="0" fontId="0" fillId="0" borderId="4" xfId="0" applyNumberFormat="1" applyFont="1" applyBorder="1" applyAlignment="1"/>
    <xf numFmtId="0" fontId="0" fillId="0" borderId="5" xfId="0" applyFont="1" applyBorder="1" applyAlignment="1"/>
    <xf numFmtId="0" fontId="0" fillId="0" borderId="6" xfId="0" applyNumberFormat="1" applyFont="1" applyBorder="1" applyAlignment="1"/>
    <xf numFmtId="0" fontId="0" fillId="0" borderId="7" xfId="0" applyFont="1" applyBorder="1" applyAlignment="1"/>
    <xf numFmtId="0" fontId="0" fillId="0" borderId="8" xfId="0" applyNumberFormat="1" applyFont="1" applyBorder="1" applyAlignment="1"/>
    <xf numFmtId="0" fontId="8" fillId="0" borderId="0" xfId="0" applyFont="1" applyAlignment="1"/>
  </cellXfs>
  <cellStyles count="1">
    <cellStyle name="Normal" xfId="0" builtinId="0"/>
  </cellStyles>
  <dxfs count="103">
    <dxf>
      <fill>
        <patternFill patternType="solid">
          <fgColor rgb="FFFFD965"/>
          <bgColor rgb="FFFFD965"/>
        </patternFill>
      </fill>
    </dxf>
    <dxf>
      <fill>
        <patternFill patternType="solid">
          <fgColor rgb="FF70AD47"/>
          <bgColor rgb="FF70AD47"/>
        </patternFill>
      </fill>
    </dxf>
    <dxf>
      <fill>
        <patternFill patternType="solid">
          <fgColor rgb="FFFFD965"/>
          <bgColor rgb="FFFFD965"/>
        </patternFill>
      </fill>
    </dxf>
    <dxf>
      <fill>
        <patternFill patternType="solid">
          <fgColor rgb="FF70AD47"/>
          <bgColor rgb="FF70AD47"/>
        </patternFill>
      </fill>
    </dxf>
    <dxf>
      <fill>
        <patternFill patternType="solid">
          <fgColor rgb="FFFFD965"/>
          <bgColor rgb="FFFFD965"/>
        </patternFill>
      </fill>
    </dxf>
    <dxf>
      <fill>
        <patternFill patternType="solid">
          <fgColor rgb="FF70AD47"/>
          <bgColor rgb="FF70AD47"/>
        </patternFill>
      </fill>
    </dxf>
    <dxf>
      <fill>
        <patternFill patternType="solid">
          <fgColor rgb="FFFFD965"/>
          <bgColor rgb="FFFFD965"/>
        </patternFill>
      </fill>
    </dxf>
    <dxf>
      <fill>
        <patternFill patternType="solid">
          <fgColor rgb="FF70AD47"/>
          <bgColor rgb="FF70AD47"/>
        </patternFill>
      </fill>
    </dxf>
    <dxf>
      <fill>
        <patternFill patternType="solid">
          <fgColor rgb="FF70AD47"/>
          <bgColor rgb="FF70AD47"/>
        </patternFill>
      </fill>
    </dxf>
    <dxf>
      <fill>
        <patternFill patternType="solid">
          <fgColor rgb="FF70AD47"/>
          <bgColor rgb="FF70AD47"/>
        </patternFill>
      </fill>
    </dxf>
    <dxf>
      <fill>
        <patternFill patternType="solid">
          <fgColor rgb="FF70AD47"/>
          <bgColor rgb="FF70AD47"/>
        </patternFill>
      </fill>
    </dxf>
    <dxf>
      <fill>
        <patternFill patternType="solid">
          <fgColor rgb="FF70AD47"/>
          <bgColor rgb="FF70AD47"/>
        </patternFill>
      </fill>
    </dxf>
    <dxf>
      <fill>
        <patternFill patternType="solid">
          <fgColor rgb="FF70AD47"/>
          <bgColor rgb="FF70AD47"/>
        </patternFill>
      </fill>
    </dxf>
    <dxf>
      <fill>
        <patternFill patternType="solid">
          <fgColor rgb="FF70AD47"/>
          <bgColor rgb="FF70AD47"/>
        </patternFill>
      </fill>
    </dxf>
    <dxf>
      <fill>
        <patternFill patternType="solid">
          <fgColor rgb="FF70AD47"/>
          <bgColor rgb="FF70AD47"/>
        </patternFill>
      </fill>
    </dxf>
    <dxf>
      <fill>
        <patternFill patternType="solid">
          <fgColor rgb="FF70AD47"/>
          <bgColor rgb="FF70AD47"/>
        </patternFill>
      </fill>
    </dxf>
    <dxf>
      <fill>
        <patternFill patternType="solid">
          <fgColor rgb="FF70AD47"/>
          <bgColor rgb="FF70AD47"/>
        </patternFill>
      </fill>
    </dxf>
    <dxf>
      <fill>
        <patternFill patternType="solid">
          <fgColor rgb="FF70AD47"/>
          <bgColor rgb="FF70AD47"/>
        </patternFill>
      </fill>
    </dxf>
    <dxf>
      <fill>
        <patternFill patternType="solid">
          <fgColor rgb="FF70AD47"/>
          <bgColor rgb="FF70AD47"/>
        </patternFill>
      </fill>
    </dxf>
    <dxf>
      <fill>
        <patternFill patternType="solid">
          <fgColor rgb="FF70AD47"/>
          <bgColor rgb="FF70AD47"/>
        </patternFill>
      </fill>
    </dxf>
    <dxf>
      <fill>
        <patternFill patternType="solid">
          <fgColor rgb="FF70AD47"/>
          <bgColor rgb="FF70AD47"/>
        </patternFill>
      </fill>
    </dxf>
    <dxf>
      <fill>
        <patternFill patternType="solid">
          <fgColor rgb="FF70AD47"/>
          <bgColor rgb="FF70AD47"/>
        </patternFill>
      </fill>
    </dxf>
    <dxf>
      <fill>
        <patternFill patternType="solid">
          <fgColor rgb="FF70AD47"/>
          <bgColor rgb="FF70AD47"/>
        </patternFill>
      </fill>
    </dxf>
    <dxf>
      <fill>
        <patternFill patternType="solid">
          <fgColor rgb="FF70AD47"/>
          <bgColor rgb="FF70AD47"/>
        </patternFill>
      </fill>
    </dxf>
    <dxf>
      <fill>
        <patternFill patternType="solid">
          <fgColor rgb="FF70AD47"/>
          <bgColor rgb="FF70AD47"/>
        </patternFill>
      </fill>
    </dxf>
    <dxf>
      <fill>
        <patternFill patternType="solid">
          <fgColor rgb="FF70AD47"/>
          <bgColor rgb="FF70AD47"/>
        </patternFill>
      </fill>
    </dxf>
    <dxf>
      <fill>
        <patternFill patternType="solid">
          <fgColor rgb="FF70AD47"/>
          <bgColor rgb="FF70AD47"/>
        </patternFill>
      </fill>
    </dxf>
    <dxf>
      <fill>
        <patternFill patternType="solid">
          <fgColor rgb="FF70AD47"/>
          <bgColor rgb="FF70AD47"/>
        </patternFill>
      </fill>
    </dxf>
    <dxf>
      <fill>
        <patternFill patternType="solid">
          <fgColor rgb="FF70AD47"/>
          <bgColor rgb="FF70AD47"/>
        </patternFill>
      </fill>
    </dxf>
    <dxf>
      <fill>
        <patternFill patternType="solid">
          <fgColor rgb="FF70AD47"/>
          <bgColor rgb="FF70AD47"/>
        </patternFill>
      </fill>
    </dxf>
    <dxf>
      <fill>
        <patternFill patternType="solid">
          <fgColor rgb="FF70AD47"/>
          <bgColor rgb="FF70AD47"/>
        </patternFill>
      </fill>
    </dxf>
    <dxf>
      <fill>
        <patternFill patternType="solid">
          <fgColor rgb="FF70AD47"/>
          <bgColor rgb="FF70AD47"/>
        </patternFill>
      </fill>
    </dxf>
    <dxf>
      <fill>
        <patternFill patternType="solid">
          <fgColor rgb="FF70AD47"/>
          <bgColor rgb="FF70AD47"/>
        </patternFill>
      </fill>
    </dxf>
    <dxf>
      <fill>
        <patternFill patternType="solid">
          <fgColor rgb="FF70AD47"/>
          <bgColor rgb="FF70AD47"/>
        </patternFill>
      </fill>
    </dxf>
    <dxf>
      <fill>
        <patternFill patternType="solid">
          <fgColor rgb="FF70AD47"/>
          <bgColor rgb="FF70AD47"/>
        </patternFill>
      </fill>
    </dxf>
    <dxf>
      <fill>
        <patternFill patternType="solid">
          <fgColor rgb="FF70AD47"/>
          <bgColor rgb="FF70AD47"/>
        </patternFill>
      </fill>
    </dxf>
    <dxf>
      <fill>
        <patternFill patternType="solid">
          <fgColor rgb="FF70AD47"/>
          <bgColor rgb="FF70AD47"/>
        </patternFill>
      </fill>
    </dxf>
    <dxf>
      <fill>
        <patternFill patternType="solid">
          <fgColor rgb="FF70AD47"/>
          <bgColor rgb="FF70AD47"/>
        </patternFill>
      </fill>
    </dxf>
    <dxf>
      <fill>
        <patternFill patternType="solid">
          <fgColor rgb="FF70AD47"/>
          <bgColor rgb="FF70AD47"/>
        </patternFill>
      </fill>
    </dxf>
    <dxf>
      <fill>
        <patternFill patternType="solid">
          <fgColor rgb="FF70AD47"/>
          <bgColor rgb="FF70AD47"/>
        </patternFill>
      </fill>
    </dxf>
    <dxf>
      <fill>
        <patternFill patternType="solid">
          <fgColor rgb="FF70AD47"/>
          <bgColor rgb="FF70AD47"/>
        </patternFill>
      </fill>
    </dxf>
    <dxf>
      <fill>
        <patternFill patternType="solid">
          <fgColor rgb="FF70AD47"/>
          <bgColor rgb="FF70AD47"/>
        </patternFill>
      </fill>
    </dxf>
    <dxf>
      <fill>
        <patternFill patternType="solid">
          <fgColor rgb="FF70AD47"/>
          <bgColor rgb="FF70AD47"/>
        </patternFill>
      </fill>
    </dxf>
    <dxf>
      <fill>
        <patternFill patternType="solid">
          <fgColor rgb="FF70AD47"/>
          <bgColor rgb="FF70AD47"/>
        </patternFill>
      </fill>
    </dxf>
    <dxf>
      <fill>
        <patternFill patternType="solid">
          <fgColor rgb="FF70AD47"/>
          <bgColor rgb="FF70AD47"/>
        </patternFill>
      </fill>
    </dxf>
    <dxf>
      <fill>
        <patternFill patternType="solid">
          <fgColor rgb="FF70AD47"/>
          <bgColor rgb="FF70AD47"/>
        </patternFill>
      </fill>
    </dxf>
    <dxf>
      <fill>
        <patternFill patternType="solid">
          <fgColor rgb="FF70AD47"/>
          <bgColor rgb="FF70AD47"/>
        </patternFill>
      </fill>
    </dxf>
    <dxf>
      <fill>
        <patternFill patternType="solid">
          <fgColor rgb="FF70AD47"/>
          <bgColor rgb="FF70AD47"/>
        </patternFill>
      </fill>
    </dxf>
    <dxf>
      <fill>
        <patternFill patternType="solid">
          <fgColor rgb="FF70AD47"/>
          <bgColor rgb="FF70AD47"/>
        </patternFill>
      </fill>
    </dxf>
    <dxf>
      <fill>
        <patternFill patternType="solid">
          <fgColor rgb="FF70AD47"/>
          <bgColor rgb="FF70AD47"/>
        </patternFill>
      </fill>
    </dxf>
    <dxf>
      <fill>
        <patternFill patternType="solid">
          <fgColor rgb="FF70AD47"/>
          <bgColor rgb="FF70AD47"/>
        </patternFill>
      </fill>
    </dxf>
    <dxf>
      <fill>
        <patternFill patternType="solid">
          <fgColor rgb="FF70AD47"/>
          <bgColor rgb="FF70AD47"/>
        </patternFill>
      </fill>
    </dxf>
    <dxf>
      <fill>
        <patternFill patternType="solid">
          <fgColor rgb="FF70AD47"/>
          <bgColor rgb="FF70AD47"/>
        </patternFill>
      </fill>
    </dxf>
    <dxf>
      <fill>
        <patternFill patternType="solid">
          <fgColor rgb="FF70AD47"/>
          <bgColor rgb="FF70AD47"/>
        </patternFill>
      </fill>
    </dxf>
    <dxf>
      <fill>
        <patternFill patternType="solid">
          <fgColor rgb="FF70AD47"/>
          <bgColor rgb="FF70AD47"/>
        </patternFill>
      </fill>
    </dxf>
    <dxf>
      <fill>
        <patternFill patternType="solid">
          <fgColor rgb="FF70AD47"/>
          <bgColor rgb="FF70AD47"/>
        </patternFill>
      </fill>
    </dxf>
    <dxf>
      <fill>
        <patternFill patternType="solid">
          <fgColor rgb="FF70AD47"/>
          <bgColor rgb="FF70AD47"/>
        </patternFill>
      </fill>
    </dxf>
    <dxf>
      <fill>
        <patternFill patternType="solid">
          <fgColor rgb="FF70AD47"/>
          <bgColor rgb="FF70AD47"/>
        </patternFill>
      </fill>
    </dxf>
    <dxf>
      <fill>
        <patternFill patternType="solid">
          <fgColor rgb="FF70AD47"/>
          <bgColor rgb="FF70AD47"/>
        </patternFill>
      </fill>
    </dxf>
    <dxf>
      <fill>
        <patternFill patternType="solid">
          <fgColor rgb="FF70AD47"/>
          <bgColor rgb="FF70AD47"/>
        </patternFill>
      </fill>
    </dxf>
    <dxf>
      <fill>
        <patternFill patternType="solid">
          <fgColor rgb="FF70AD47"/>
          <bgColor rgb="FF70AD47"/>
        </patternFill>
      </fill>
    </dxf>
    <dxf>
      <fill>
        <patternFill patternType="solid">
          <fgColor rgb="FF70AD47"/>
          <bgColor rgb="FF70AD47"/>
        </patternFill>
      </fill>
    </dxf>
    <dxf>
      <fill>
        <patternFill patternType="solid">
          <fgColor rgb="FF70AD47"/>
          <bgColor rgb="FF70AD47"/>
        </patternFill>
      </fill>
    </dxf>
    <dxf>
      <fill>
        <patternFill patternType="solid">
          <fgColor rgb="FF70AD47"/>
          <bgColor rgb="FF70AD47"/>
        </patternFill>
      </fill>
    </dxf>
    <dxf>
      <fill>
        <patternFill patternType="solid">
          <fgColor rgb="FF70AD47"/>
          <bgColor rgb="FF70AD47"/>
        </patternFill>
      </fill>
    </dxf>
    <dxf>
      <fill>
        <patternFill patternType="solid">
          <fgColor rgb="FF70AD47"/>
          <bgColor rgb="FF70AD47"/>
        </patternFill>
      </fill>
    </dxf>
    <dxf>
      <fill>
        <patternFill patternType="solid">
          <fgColor rgb="FF70AD47"/>
          <bgColor rgb="FF70AD47"/>
        </patternFill>
      </fill>
    </dxf>
    <dxf>
      <fill>
        <patternFill patternType="solid">
          <fgColor rgb="FF70AD47"/>
          <bgColor rgb="FF70AD47"/>
        </patternFill>
      </fill>
    </dxf>
    <dxf>
      <fill>
        <patternFill patternType="solid">
          <fgColor rgb="FF70AD47"/>
          <bgColor rgb="FF70AD47"/>
        </patternFill>
      </fill>
    </dxf>
    <dxf>
      <fill>
        <patternFill patternType="solid">
          <fgColor rgb="FF70AD47"/>
          <bgColor rgb="FF70AD47"/>
        </patternFill>
      </fill>
    </dxf>
    <dxf>
      <fill>
        <patternFill patternType="solid">
          <fgColor rgb="FF70AD47"/>
          <bgColor rgb="FF70AD47"/>
        </patternFill>
      </fill>
    </dxf>
    <dxf>
      <fill>
        <patternFill patternType="solid">
          <fgColor rgb="FF70AD47"/>
          <bgColor rgb="FF70AD47"/>
        </patternFill>
      </fill>
    </dxf>
    <dxf>
      <fill>
        <patternFill patternType="solid">
          <fgColor rgb="FF70AD47"/>
          <bgColor rgb="FF70AD47"/>
        </patternFill>
      </fill>
    </dxf>
    <dxf>
      <fill>
        <patternFill patternType="solid">
          <fgColor rgb="FF70AD47"/>
          <bgColor rgb="FF70AD47"/>
        </patternFill>
      </fill>
    </dxf>
    <dxf>
      <fill>
        <patternFill patternType="solid">
          <fgColor rgb="FF70AD47"/>
          <bgColor rgb="FF70AD47"/>
        </patternFill>
      </fill>
    </dxf>
    <dxf>
      <fill>
        <patternFill patternType="solid">
          <fgColor rgb="FF70AD47"/>
          <bgColor rgb="FF70AD47"/>
        </patternFill>
      </fill>
    </dxf>
    <dxf>
      <fill>
        <patternFill patternType="solid">
          <fgColor rgb="FF70AD47"/>
          <bgColor rgb="FF70AD47"/>
        </patternFill>
      </fill>
    </dxf>
    <dxf>
      <fill>
        <patternFill patternType="solid">
          <fgColor rgb="FF70AD47"/>
          <bgColor rgb="FF70AD47"/>
        </patternFill>
      </fill>
    </dxf>
    <dxf>
      <fill>
        <patternFill patternType="solid">
          <fgColor rgb="FF70AD47"/>
          <bgColor rgb="FF70AD47"/>
        </patternFill>
      </fill>
    </dxf>
    <dxf>
      <fill>
        <patternFill patternType="solid">
          <fgColor rgb="FF70AD47"/>
          <bgColor rgb="FF70AD47"/>
        </patternFill>
      </fill>
    </dxf>
    <dxf>
      <fill>
        <patternFill patternType="solid">
          <fgColor rgb="FF70AD47"/>
          <bgColor rgb="FF70AD47"/>
        </patternFill>
      </fill>
    </dxf>
    <dxf>
      <fill>
        <patternFill patternType="solid">
          <fgColor rgb="FF70AD47"/>
          <bgColor rgb="FF70AD47"/>
        </patternFill>
      </fill>
    </dxf>
    <dxf>
      <fill>
        <patternFill patternType="solid">
          <fgColor rgb="FF70AD47"/>
          <bgColor rgb="FF70AD47"/>
        </patternFill>
      </fill>
    </dxf>
    <dxf>
      <fill>
        <patternFill patternType="solid">
          <fgColor rgb="FF70AD47"/>
          <bgColor rgb="FF70AD47"/>
        </patternFill>
      </fill>
    </dxf>
    <dxf>
      <fill>
        <patternFill patternType="solid">
          <fgColor rgb="FF70AD47"/>
          <bgColor rgb="FF70AD47"/>
        </patternFill>
      </fill>
    </dxf>
    <dxf>
      <fill>
        <patternFill patternType="solid">
          <fgColor rgb="FF70AD47"/>
          <bgColor rgb="FF70AD47"/>
        </patternFill>
      </fill>
    </dxf>
    <dxf>
      <fill>
        <patternFill patternType="solid">
          <fgColor rgb="FF70AD47"/>
          <bgColor rgb="FF70AD47"/>
        </patternFill>
      </fill>
    </dxf>
    <dxf>
      <fill>
        <patternFill patternType="solid">
          <fgColor rgb="FF70AD47"/>
          <bgColor rgb="FF70AD47"/>
        </patternFill>
      </fill>
    </dxf>
    <dxf>
      <fill>
        <patternFill patternType="solid">
          <fgColor rgb="FF70AD47"/>
          <bgColor rgb="FF70AD47"/>
        </patternFill>
      </fill>
    </dxf>
    <dxf>
      <fill>
        <patternFill patternType="solid">
          <fgColor rgb="FF70AD47"/>
          <bgColor rgb="FF70AD47"/>
        </patternFill>
      </fill>
    </dxf>
    <dxf>
      <fill>
        <patternFill patternType="solid">
          <fgColor rgb="FF70AD47"/>
          <bgColor rgb="FF70AD47"/>
        </patternFill>
      </fill>
    </dxf>
    <dxf>
      <fill>
        <patternFill patternType="solid">
          <fgColor rgb="FF70AD47"/>
          <bgColor rgb="FF70AD47"/>
        </patternFill>
      </fill>
    </dxf>
    <dxf>
      <fill>
        <patternFill patternType="solid">
          <fgColor rgb="FF70AD47"/>
          <bgColor rgb="FF70AD47"/>
        </patternFill>
      </fill>
    </dxf>
    <dxf>
      <fill>
        <patternFill patternType="solid">
          <fgColor rgb="FF70AD47"/>
          <bgColor rgb="FF70AD47"/>
        </patternFill>
      </fill>
    </dxf>
    <dxf>
      <fill>
        <patternFill patternType="solid">
          <fgColor rgb="FF70AD47"/>
          <bgColor rgb="FF70AD47"/>
        </patternFill>
      </fill>
    </dxf>
    <dxf>
      <fill>
        <patternFill patternType="solid">
          <fgColor rgb="FF70AD47"/>
          <bgColor rgb="FF70AD47"/>
        </patternFill>
      </fill>
    </dxf>
    <dxf>
      <fill>
        <patternFill patternType="solid">
          <fgColor rgb="FF70AD47"/>
          <bgColor rgb="FF70AD47"/>
        </patternFill>
      </fill>
    </dxf>
    <dxf>
      <fill>
        <patternFill patternType="solid">
          <fgColor rgb="FF70AD47"/>
          <bgColor rgb="FF70AD47"/>
        </patternFill>
      </fill>
    </dxf>
    <dxf>
      <fill>
        <patternFill patternType="solid">
          <fgColor rgb="FF70AD47"/>
          <bgColor rgb="FF70AD47"/>
        </patternFill>
      </fill>
    </dxf>
    <dxf>
      <fill>
        <patternFill patternType="solid">
          <fgColor rgb="FF70AD47"/>
          <bgColor rgb="FF70AD47"/>
        </patternFill>
      </fill>
    </dxf>
    <dxf>
      <fill>
        <patternFill patternType="solid">
          <fgColor rgb="FF70AD47"/>
          <bgColor rgb="FF70AD47"/>
        </patternFill>
      </fill>
    </dxf>
    <dxf>
      <fill>
        <patternFill patternType="solid">
          <fgColor rgb="FF70AD47"/>
          <bgColor rgb="FF70AD47"/>
        </patternFill>
      </fill>
    </dxf>
    <dxf>
      <fill>
        <patternFill patternType="solid">
          <fgColor rgb="FF70AD47"/>
          <bgColor rgb="FF70AD47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styles" Target="styles.xml"/><Relationship Id="rId10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customschemas.google.com/relationships/workbookmetadata" Target="metadata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152400</xdr:colOff>
      <xdr:row>0</xdr:row>
      <xdr:rowOff>152400</xdr:rowOff>
    </xdr:from>
    <xdr:ext cx="2085975" cy="647700"/>
    <xdr:pic>
      <xdr:nvPicPr>
        <xdr:cNvPr id="2" name="image1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Microsoft Office User" refreshedDate="45083.461332638886" refreshedVersion="7" recordCount="1176" xr:uid="{00000000-000A-0000-FFFF-FFFF00000000}">
  <cacheSource type="worksheet">
    <worksheetSource ref="A1:M1177" sheet="Camera Days FINAL 4-20-20"/>
  </cacheSource>
  <cacheFields count="13">
    <cacheField name="Survey" numFmtId="0">
      <sharedItems count="45">
        <s v="Fall 2013"/>
        <s v="Fall 2014"/>
        <s v="Spring 2013"/>
        <s v="Spring 2014"/>
        <s v="Spring 2015"/>
        <s v="Summer 2012"/>
        <s v="Fall 2015"/>
        <s v="Fall 2012"/>
        <s v="Bosque de Agua 2016-2017"/>
        <s v="Cabo Blanco 2017"/>
        <s v="Cabo Blanco 2018"/>
        <s v="Fall 2017"/>
        <s v="Spring 2016"/>
        <s v="Spring 2017"/>
        <s v="Spring 2018"/>
        <s v="Summer 2015"/>
        <s v="Summer 2016"/>
        <s v="Chirripo 2019"/>
        <s v="Fall 2016"/>
        <s v="Summer 2014"/>
        <s v="Summer 2017"/>
        <s v="El Copal 2016"/>
        <s v="Summer 2013"/>
        <s v="El Copal 2015"/>
        <s v="Kamuk 2018"/>
        <s v="Fall 2019"/>
        <s v="Kamuk Spring 2019"/>
        <s v="Winter 2019"/>
        <s v="Spring 2019"/>
        <s v="Fall 2018"/>
        <s v="PILA 2019"/>
        <s v="Summer 2018"/>
        <s v="PN Carara 2017"/>
        <s v="PN Carara 2018"/>
        <s v="Summer-Fall 2017"/>
        <s v="PNLC 2017"/>
        <s v="PNLC 2018"/>
        <s v="PNLC 2019"/>
        <s v="Fall 2011"/>
        <s v="Spring 2012"/>
        <s v="Summer 2011"/>
        <s v="Summer 2019"/>
        <s v="Spring 2011"/>
        <s v="Summer 2010"/>
        <s v="Tapanti 2015"/>
      </sharedItems>
    </cacheField>
    <cacheField name="Site" numFmtId="0">
      <sharedItems count="14">
        <s v="ASBC"/>
        <s v="Bosque de Agua"/>
        <s v="Cabo Blanco"/>
        <s v="Chirripo"/>
        <s v="El Copal"/>
        <s v="Kamuk"/>
        <s v="La Marta"/>
        <s v="Osa Campanario"/>
        <s v="PILA"/>
        <s v="PN Carara"/>
        <s v="PNLC"/>
        <s v="Savegre Valley"/>
        <s v="Tapanti"/>
        <s v="Villa Mills"/>
      </sharedItems>
    </cacheField>
    <cacheField name="Trail" numFmtId="0">
      <sharedItems containsBlank="1" count="63">
        <s v="Los Cusingos"/>
        <s v="Luis Angel Finca"/>
        <s v="Lote Elisa"/>
        <s v="Granadija Salvaje"/>
        <s v="Unknown"/>
        <s v="Escondida"/>
        <s v="Molina"/>
        <s v="Choders Finca"/>
        <s v="Bernina Caña"/>
        <s v="CBBA"/>
        <s v="PNC"/>
        <s v="El Uran"/>
        <s v="Main"/>
        <s v="Sabanas de Los Leones"/>
        <s v="San Jeronimo"/>
        <s v="Base Crestones"/>
        <s v="Ventisqueros"/>
        <m/>
        <s v="El Copal"/>
        <s v="Kamuk"/>
        <s v="CBQTC"/>
        <s v="La Marta"/>
        <s v="Helecho Azul"/>
        <s v="Paso del Jaguar Este"/>
        <s v="Fila Marta"/>
        <s v="Bauhinia"/>
        <s v="Kiosko"/>
        <s v="Camino Publico"/>
        <s v="Campana"/>
        <s v="Valle de Silencio"/>
        <s v="La Congreja"/>
        <s v="Sendero Sancho (Agua)"/>
        <s v="Rio Negro"/>
        <s v="Llano los Pumas"/>
        <s v="Llano Guanacaste"/>
        <s v="Quebrada Grande"/>
        <s v="New West"/>
        <s v="Vueltas"/>
        <s v="Torres"/>
        <s v="Manantial"/>
        <s v="La Lira"/>
        <s v="Robles"/>
        <s v="Lagos"/>
        <s v="Finca"/>
        <s v="Dantica"/>
        <s v="Sendero de la Danta"/>
        <s v="Cumbre"/>
        <s v="Chanchos"/>
        <s v="Cataratas"/>
        <s v="Waterfall"/>
        <s v="Camp"/>
        <s v="Campamento"/>
        <s v="Ojo de Agua"/>
        <s v="Quebrada"/>
        <s v="Water Pipe"/>
        <s v="Robles Shortcut"/>
        <s v="Esperanza"/>
        <s v="Power Line"/>
        <s v="North Entrance"/>
        <s v="Durman Esquivel"/>
        <s v="Destierro"/>
        <s v="Diablo Trail"/>
        <s v="Villa Mills"/>
      </sharedItems>
    </cacheField>
    <cacheField name="Camera" numFmtId="0">
      <sharedItems containsMixedTypes="1" containsNumber="1" containsInteger="1" minValue="1" maxValue="26" count="213">
        <s v="A1-2"/>
        <s v="A11-12"/>
        <s v="A9-10"/>
        <s v="A7-8"/>
        <s v="A17-18"/>
        <s v="A13-14"/>
        <s v="A5-6"/>
        <s v="N1"/>
        <s v="Molina"/>
        <s v="A3-4"/>
        <s v="A15-16"/>
        <s v="CBBA1-2"/>
        <s v="CBBA3-4"/>
        <s v="CBBA5-6"/>
        <s v="CBBA9-10"/>
        <s v="CBBA7-8"/>
        <s v="RCB1"/>
        <s v="RCB2"/>
        <s v="RCB3"/>
        <s v="RCB4"/>
        <s v="RCB5"/>
        <s v="RCB6"/>
        <s v="C1-2"/>
        <s v="C3-4"/>
        <s v="C5-6"/>
        <s v="C7-8"/>
        <s v="C9-10"/>
        <s v="C11-12"/>
        <s v="C13-14"/>
        <s v="C15-16"/>
        <s v="C17-18"/>
        <s v="C19-20"/>
        <s v="C23"/>
        <s v="C25"/>
        <s v="C26"/>
        <s v="c22"/>
        <s v="C1-2R"/>
        <s v="C3-4R"/>
        <s v="C9-10R"/>
        <s v="C1"/>
        <s v="CNN1-2"/>
        <s v="C3"/>
        <s v="C9"/>
        <s v="C10"/>
        <s v="EC13-14"/>
        <s v="EC301-302"/>
        <s v="K1"/>
        <s v="K4"/>
        <s v="K6"/>
        <s v="K8"/>
        <s v="K10"/>
        <s v="K2"/>
        <s v="K3"/>
        <s v="K5"/>
        <s v="K7"/>
        <s v="K9"/>
        <s v="CBQTC1"/>
        <s v="CBQTC2"/>
        <s v="CBQTC5"/>
        <s v="CBQTC6"/>
        <s v="CBQTC7"/>
        <s v="CBQTC8"/>
        <s v="LM2"/>
        <s v="LM4-5"/>
        <s v="LM1-2"/>
        <s v="LM3"/>
        <s v="LM6-7"/>
        <s v="Q1-2"/>
        <s v="Q3"/>
        <s v="Q4"/>
        <s v="Q5-6"/>
        <s v="Q7"/>
        <s v="Q8"/>
        <s v="Q9"/>
        <s v="Q10"/>
        <s v="PILA01"/>
        <s v="PILA02"/>
        <s v="PILA03"/>
        <s v="PILA04"/>
        <s v="PILA05"/>
        <s v="PILA06"/>
        <s v="PILA07"/>
        <s v="PILA08"/>
        <s v="PILA09"/>
        <s v="PILA10"/>
        <s v="PNC2"/>
        <s v="PNC3"/>
        <s v="PNC4"/>
        <s v="PNC1"/>
        <s v="LC1"/>
        <s v="LC2"/>
        <s v="LC3"/>
        <s v="LC4"/>
        <s v="LC5"/>
        <s v="West6"/>
        <s v="West4"/>
        <s v="West3"/>
        <s v="West23"/>
        <s v="West2"/>
        <s v="Vueltas27"/>
        <s v="Vueltas26"/>
        <s v="Torres8"/>
        <s v="Torres7"/>
        <s v="Torres31"/>
        <s v="Torres22"/>
        <s v="Torres21"/>
        <s v="Torres20"/>
        <s v="Torres19"/>
        <s v="Man2"/>
        <s v="Lira5"/>
        <s v="Lira1"/>
        <s v="Lagos6"/>
        <s v="Lagos5"/>
        <s v="Lagos4"/>
        <s v="Lagos3"/>
        <s v="Lagos26"/>
        <s v="Lagos25"/>
        <s v="Lagos24"/>
        <s v="Lagos23"/>
        <s v="Lagos22"/>
        <s v="Finca33"/>
        <s v="Finca32"/>
        <s v="Finca3"/>
        <s v="Finca28"/>
        <s v="Finca23"/>
        <s v="Finca22"/>
        <s v="Finca20"/>
        <s v="Finca17"/>
        <s v="Dantica29"/>
        <s v="Dantica28"/>
        <s v="Dantica15"/>
        <s v="Dantica14"/>
        <s v="Dantica13"/>
        <s v="Danta4"/>
        <s v="CUM27"/>
        <s v="CUM26"/>
        <s v="CUM25"/>
        <s v="CUM24"/>
        <s v="CUM23"/>
        <s v="CUM21"/>
        <s v="Chanchos33"/>
        <s v="Chanchos31"/>
        <s v="Chanchos30"/>
        <s v="Chanchos29"/>
        <s v="Chanchos28"/>
        <s v="Catar6"/>
        <s v="Catar5"/>
        <s v="Catar4"/>
        <s v="Catar32"/>
        <s v="Catar15"/>
        <s v="Catar13"/>
        <s v="Camp4"/>
        <s v="Camp3"/>
        <s v="Camp26"/>
        <s v="Camp25"/>
        <s v="Camp24"/>
        <s v="Camp23"/>
        <s v="Camp20"/>
        <s v="Camp2"/>
        <s v="Camp18"/>
        <s v="Camp17"/>
        <s v="Camp16"/>
        <s v="Camp13"/>
        <s v="Camp11"/>
        <s v="9c"/>
        <s v="9a"/>
        <s v="8R"/>
        <s v="5R"/>
        <s v="5a"/>
        <n v="26"/>
        <n v="22"/>
        <n v="19"/>
        <n v="18"/>
        <n v="16"/>
        <n v="12"/>
        <n v="11"/>
        <n v="10"/>
        <n v="9"/>
        <n v="8"/>
        <n v="7"/>
        <n v="6"/>
        <n v="5"/>
        <n v="4"/>
        <n v="3"/>
        <n v="2"/>
        <n v="1"/>
        <s v="T15-16"/>
        <s v="T17-18"/>
        <s v="T21-22"/>
        <s v="T19-20"/>
        <s v="T26"/>
        <s v="T23-24"/>
        <s v="T25"/>
        <s v="T13-14"/>
        <s v="T7-8"/>
        <s v="T3-4"/>
        <s v="T5-6"/>
        <s v="T1-2"/>
        <s v="T9-10"/>
        <s v="T11-12"/>
        <s v="T07-08"/>
        <s v="T03-04"/>
        <s v="T101-102"/>
        <s v="T103"/>
        <s v="T104"/>
        <s v="T105"/>
        <s v="T106"/>
        <s v="T107"/>
        <s v="T3"/>
        <s v="VM13"/>
        <s v="VM14"/>
        <s v="VM15"/>
        <s v="VM28"/>
      </sharedItems>
    </cacheField>
    <cacheField name="X" numFmtId="0">
      <sharedItems containsBlank="1" containsMixedTypes="1" containsNumber="1" minValue="0" maxValue="787854"/>
    </cacheField>
    <cacheField name="Y" numFmtId="0">
      <sharedItems containsBlank="1" containsMixedTypes="1" containsNumber="1" minValue="0" maxValue="1083725"/>
    </cacheField>
    <cacheField name="Latitude" numFmtId="0">
      <sharedItems containsString="0" containsBlank="1" containsNumber="1" minValue="8.6348040000000008" maxValue="9.7983499999999992"/>
    </cacheField>
    <cacheField name="Longitude" numFmtId="0">
      <sharedItems containsString="0" containsBlank="1" containsNumber="1" minValue="-85.113200000000006" maxValue="83.783883000000003"/>
    </cacheField>
    <cacheField name="Elevation" numFmtId="0">
      <sharedItems containsBlank="1" containsMixedTypes="1" containsNumber="1" containsInteger="1" minValue="13" maxValue="3464"/>
    </cacheField>
    <cacheField name="Traffic" numFmtId="0">
      <sharedItems containsBlank="1"/>
    </cacheField>
    <cacheField name="Start Date" numFmtId="0">
      <sharedItems containsNonDate="0" containsDate="1" containsString="0" containsBlank="1" minDate="2010-06-25T00:00:00" maxDate="2019-08-13T00:00:00"/>
    </cacheField>
    <cacheField name="End Date" numFmtId="0">
      <sharedItems containsNonDate="0" containsDate="1" containsString="0" containsBlank="1" minDate="2010-07-05T00:00:00" maxDate="2020-01-14T00:00:00"/>
    </cacheField>
    <cacheField name="Camera Days" numFmtId="0">
      <sharedItems containsString="0" containsBlank="1" containsNumber="1" containsInteger="1" minValue="0" maxValue="41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76">
  <r>
    <x v="0"/>
    <x v="0"/>
    <x v="0"/>
    <x v="0"/>
    <n v="211242.69"/>
    <n v="1033146.83"/>
    <n v="9.3366500000000006"/>
    <n v="-83.628716999999995"/>
    <n v="724"/>
    <s v="High"/>
    <d v="2013-07-13T00:00:00"/>
    <d v="2013-11-01T00:00:00"/>
    <n v="112"/>
  </r>
  <r>
    <x v="0"/>
    <x v="0"/>
    <x v="0"/>
    <x v="1"/>
    <n v="211479.02"/>
    <n v="1032894.16"/>
    <n v="9.3343830000000008"/>
    <n v="-83.626549999999995"/>
    <n v="725"/>
    <s v="High"/>
    <d v="2012-09-17T00:00:00"/>
    <d v="2013-11-01T00:00:00"/>
    <n v="411"/>
  </r>
  <r>
    <x v="0"/>
    <x v="0"/>
    <x v="1"/>
    <x v="2"/>
    <n v="211524"/>
    <n v="1032512"/>
    <n v="9.3309329999999999"/>
    <n v="-83.626116999999994"/>
    <n v="687"/>
    <s v="Low"/>
    <d v="2012-09-04T00:00:00"/>
    <d v="2012-10-01T00:00:00"/>
    <n v="28"/>
  </r>
  <r>
    <x v="0"/>
    <x v="0"/>
    <x v="1"/>
    <x v="3"/>
    <n v="211815.82"/>
    <n v="1032611.32"/>
    <n v="9.3318499999999993"/>
    <n v="-83.623467000000005"/>
    <n v="724"/>
    <s v="Low"/>
    <d v="2013-04-12T00:00:00"/>
    <d v="2013-06-07T00:00:00"/>
    <n v="57"/>
  </r>
  <r>
    <x v="0"/>
    <x v="0"/>
    <x v="2"/>
    <x v="4"/>
    <n v="211996.22"/>
    <n v="1031975.47"/>
    <n v="9.326117"/>
    <n v="-83.621782999999994"/>
    <n v="724"/>
    <s v="Low"/>
    <d v="2013-07-04T00:00:00"/>
    <d v="2013-10-20T00:00:00"/>
    <n v="109"/>
  </r>
  <r>
    <x v="0"/>
    <x v="0"/>
    <x v="3"/>
    <x v="5"/>
    <n v="213201"/>
    <n v="1032612"/>
    <n v="9.3319500000000009"/>
    <n v="-83.610866999999999"/>
    <n v="788"/>
    <s v="Low"/>
    <d v="2013-06-08T00:00:00"/>
    <d v="2013-11-22T00:00:00"/>
    <n v="168"/>
  </r>
  <r>
    <x v="1"/>
    <x v="0"/>
    <x v="0"/>
    <x v="0"/>
    <n v="211243"/>
    <n v="1033147"/>
    <n v="9.3366500000000006"/>
    <n v="-83.628716999999995"/>
    <n v="756"/>
    <s v="High"/>
    <d v="2014-04-10T00:00:00"/>
    <d v="2015-01-14T00:00:00"/>
    <n v="280"/>
  </r>
  <r>
    <x v="1"/>
    <x v="0"/>
    <x v="4"/>
    <x v="1"/>
    <n v="211479"/>
    <n v="1032894"/>
    <n v="9.3343830000000008"/>
    <n v="-83.626549999999995"/>
    <n v="727"/>
    <s v="Low"/>
    <d v="2013-12-30T00:00:00"/>
    <d v="2014-01-10T00:00:00"/>
    <n v="12"/>
  </r>
  <r>
    <x v="1"/>
    <x v="0"/>
    <x v="4"/>
    <x v="3"/>
    <n v="211816"/>
    <n v="1032611"/>
    <n v="9.3318499999999993"/>
    <n v="-83.623467000000005"/>
    <n v="736"/>
    <s v="Low"/>
    <d v="2014-03-02T00:00:00"/>
    <d v="2015-01-03T00:00:00"/>
    <n v="308"/>
  </r>
  <r>
    <x v="1"/>
    <x v="0"/>
    <x v="0"/>
    <x v="4"/>
    <n v="211996.22"/>
    <n v="1031975.47"/>
    <n v="9.326117"/>
    <n v="-83.621782999999994"/>
    <n v="724"/>
    <s v="High"/>
    <d v="2014-04-19T00:00:00"/>
    <d v="2015-01-16T00:00:00"/>
    <n v="273"/>
  </r>
  <r>
    <x v="2"/>
    <x v="0"/>
    <x v="1"/>
    <x v="2"/>
    <n v="211524"/>
    <n v="1032512"/>
    <n v="9.3309329999999999"/>
    <n v="-83.626116999999994"/>
    <n v="687"/>
    <s v="Low"/>
    <d v="2012-12-20T00:00:00"/>
    <d v="2013-02-19T00:00:00"/>
    <n v="62"/>
  </r>
  <r>
    <x v="2"/>
    <x v="0"/>
    <x v="1"/>
    <x v="3"/>
    <n v="211816"/>
    <n v="1032611"/>
    <n v="9.3318499999999993"/>
    <n v="-83.623467000000005"/>
    <n v="724"/>
    <s v="Low"/>
    <d v="2013-01-16T00:00:00"/>
    <d v="2013-04-11T00:00:00"/>
    <n v="86"/>
  </r>
  <r>
    <x v="2"/>
    <x v="0"/>
    <x v="2"/>
    <x v="4"/>
    <n v="211996"/>
    <n v="1031975"/>
    <n v="9.326117"/>
    <n v="-83.621782999999994"/>
    <n v="724"/>
    <s v="Low"/>
    <d v="2012-12-24T00:00:00"/>
    <d v="2013-07-04T00:00:00"/>
    <n v="193"/>
  </r>
  <r>
    <x v="2"/>
    <x v="0"/>
    <x v="0"/>
    <x v="0"/>
    <n v="211996"/>
    <n v="1031975"/>
    <n v="9.3366500000000006"/>
    <n v="-83.628716999999995"/>
    <n v="724"/>
    <s v="Moderate High"/>
    <d v="2012-12-25T00:00:00"/>
    <d v="2013-07-12T00:00:00"/>
    <n v="200"/>
  </r>
  <r>
    <x v="2"/>
    <x v="0"/>
    <x v="3"/>
    <x v="5"/>
    <n v="213201"/>
    <n v="1032612"/>
    <n v="9.3319500000000009"/>
    <n v="-83.610866999999999"/>
    <n v="788"/>
    <s v="Low"/>
    <d v="2012-12-31T00:00:00"/>
    <d v="2013-06-07T00:00:00"/>
    <n v="159"/>
  </r>
  <r>
    <x v="3"/>
    <x v="0"/>
    <x v="4"/>
    <x v="6"/>
    <n v="210118"/>
    <n v="1032995"/>
    <n v="9.3352000000000004"/>
    <n v="-83.638932999999994"/>
    <n v="800"/>
    <s v="Low"/>
    <d v="2014-01-04T00:00:00"/>
    <d v="2014-04-17T00:00:00"/>
    <n v="104"/>
  </r>
  <r>
    <x v="3"/>
    <x v="0"/>
    <x v="4"/>
    <x v="0"/>
    <n v="211243"/>
    <n v="1033147"/>
    <n v="9.3366500000000006"/>
    <n v="-83.628716999999995"/>
    <n v="756"/>
    <s v="Low"/>
    <d v="2013-12-30T00:00:00"/>
    <d v="2014-04-09T00:00:00"/>
    <n v="101"/>
  </r>
  <r>
    <x v="3"/>
    <x v="0"/>
    <x v="4"/>
    <x v="1"/>
    <n v="211479"/>
    <n v="1032894"/>
    <n v="9.3343830000000008"/>
    <n v="-83.626549999999995"/>
    <n v="727"/>
    <s v="Low"/>
    <d v="2014-01-06T00:00:00"/>
    <d v="2014-03-27T00:00:00"/>
    <n v="81"/>
  </r>
  <r>
    <x v="3"/>
    <x v="0"/>
    <x v="4"/>
    <x v="3"/>
    <n v="211816"/>
    <n v="1032611"/>
    <n v="9.3318499999999993"/>
    <n v="-83.623467000000005"/>
    <n v="736"/>
    <s v="Low"/>
    <d v="2014-01-21T00:00:00"/>
    <d v="2014-03-01T00:00:00"/>
    <n v="40"/>
  </r>
  <r>
    <x v="3"/>
    <x v="0"/>
    <x v="2"/>
    <x v="4"/>
    <n v="211996"/>
    <n v="1031975"/>
    <n v="9.326117"/>
    <n v="-83.621782999999994"/>
    <n v="724"/>
    <s v="Low"/>
    <d v="2014-01-06T00:00:00"/>
    <d v="2014-04-18T00:00:00"/>
    <n v="103"/>
  </r>
  <r>
    <x v="3"/>
    <x v="0"/>
    <x v="3"/>
    <x v="5"/>
    <n v="213201"/>
    <n v="1032612"/>
    <n v="9.3319500000000009"/>
    <n v="-83.610866999999999"/>
    <n v="788"/>
    <s v="Low"/>
    <d v="2014-01-01T00:00:00"/>
    <d v="2014-03-17T00:00:00"/>
    <n v="76"/>
  </r>
  <r>
    <x v="4"/>
    <x v="0"/>
    <x v="1"/>
    <x v="3"/>
    <n v="211816"/>
    <n v="1032611"/>
    <n v="9.3318499999999993"/>
    <n v="-83.623467000000005"/>
    <n v="736"/>
    <s v="Low"/>
    <d v="2015-01-23T00:00:00"/>
    <d v="2015-02-28T00:00:00"/>
    <n v="37"/>
  </r>
  <r>
    <x v="4"/>
    <x v="0"/>
    <x v="5"/>
    <x v="4"/>
    <n v="211996"/>
    <n v="1031975"/>
    <n v="9.326117"/>
    <n v="-83.621782999999994"/>
    <n v="724"/>
    <s v="Low"/>
    <d v="2015-01-19T00:00:00"/>
    <d v="2015-03-05T00:00:00"/>
    <n v="46"/>
  </r>
  <r>
    <x v="4"/>
    <x v="0"/>
    <x v="4"/>
    <x v="7"/>
    <m/>
    <m/>
    <m/>
    <m/>
    <m/>
    <s v="Low"/>
    <d v="2014-12-28T00:00:00"/>
    <d v="2015-03-30T00:00:00"/>
    <n v="0"/>
  </r>
  <r>
    <x v="4"/>
    <x v="0"/>
    <x v="6"/>
    <x v="8"/>
    <m/>
    <m/>
    <m/>
    <m/>
    <m/>
    <s v="Low"/>
    <d v="2015-01-24T00:00:00"/>
    <d v="2015-03-07T00:00:00"/>
    <n v="43"/>
  </r>
  <r>
    <x v="5"/>
    <x v="0"/>
    <x v="7"/>
    <x v="9"/>
    <n v="209038"/>
    <n v="1033342"/>
    <n v="9.3382699999999996"/>
    <n v="-83.648780000000002"/>
    <n v="693"/>
    <s v="Low"/>
    <d v="2012-07-03T00:00:00"/>
    <d v="2012-07-25T00:00:00"/>
    <n v="0"/>
  </r>
  <r>
    <x v="5"/>
    <x v="0"/>
    <x v="7"/>
    <x v="6"/>
    <n v="210118"/>
    <n v="1032995"/>
    <n v="9.3352000000000004"/>
    <n v="-83.638930000000002"/>
    <n v="800"/>
    <s v="Low"/>
    <d v="2012-07-03T00:00:00"/>
    <d v="2012-08-09T00:00:00"/>
    <n v="38"/>
  </r>
  <r>
    <x v="5"/>
    <x v="0"/>
    <x v="0"/>
    <x v="1"/>
    <n v="211479"/>
    <n v="1032894"/>
    <n v="9.3343799999999995"/>
    <n v="-83.626549999999995"/>
    <n v="727"/>
    <s v="Low"/>
    <d v="2012-07-04T00:00:00"/>
    <d v="2012-08-09T00:00:00"/>
    <n v="37"/>
  </r>
  <r>
    <x v="5"/>
    <x v="0"/>
    <x v="1"/>
    <x v="2"/>
    <n v="211524"/>
    <n v="1032512"/>
    <n v="9.3309300000000004"/>
    <n v="-83.62612"/>
    <n v="687"/>
    <s v="Low"/>
    <d v="2012-07-03T00:00:00"/>
    <d v="2012-08-09T00:00:00"/>
    <n v="38"/>
  </r>
  <r>
    <x v="5"/>
    <x v="0"/>
    <x v="0"/>
    <x v="0"/>
    <n v="211996"/>
    <n v="1031975"/>
    <n v="9.3366500000000006"/>
    <n v="-83.628720000000001"/>
    <n v="724"/>
    <s v="Moderate High"/>
    <d v="2012-07-03T00:00:00"/>
    <d v="2012-08-09T00:00:00"/>
    <n v="38"/>
  </r>
  <r>
    <x v="5"/>
    <x v="0"/>
    <x v="1"/>
    <x v="3"/>
    <n v="211996"/>
    <n v="1031975"/>
    <n v="9.3318499999999993"/>
    <n v="-83.623469999999998"/>
    <n v="724"/>
    <s v="Low"/>
    <d v="2012-07-03T00:00:00"/>
    <d v="2012-08-09T00:00:00"/>
    <n v="38"/>
  </r>
  <r>
    <x v="5"/>
    <x v="0"/>
    <x v="2"/>
    <x v="4"/>
    <n v="211996"/>
    <n v="1031975"/>
    <n v="9.3261199999999995"/>
    <n v="-83.621780000000001"/>
    <n v="724"/>
    <s v="Low"/>
    <d v="2012-07-04T00:00:00"/>
    <d v="2012-08-09T00:00:00"/>
    <n v="37"/>
  </r>
  <r>
    <x v="5"/>
    <x v="0"/>
    <x v="3"/>
    <x v="5"/>
    <n v="213201"/>
    <n v="1032612"/>
    <n v="9.3319500000000009"/>
    <n v="-83.610870000000006"/>
    <n v="788"/>
    <s v="Low"/>
    <d v="2012-07-04T00:00:00"/>
    <d v="2012-08-09T00:00:00"/>
    <n v="37"/>
  </r>
  <r>
    <x v="5"/>
    <x v="0"/>
    <x v="8"/>
    <x v="10"/>
    <n v="213513"/>
    <n v="1034122"/>
    <n v="9.3456200000000003"/>
    <n v="-83.608130000000003"/>
    <n v="888"/>
    <s v="Low"/>
    <d v="2012-07-04T00:00:00"/>
    <d v="2012-08-09T00:00:00"/>
    <n v="37"/>
  </r>
  <r>
    <x v="6"/>
    <x v="0"/>
    <x v="5"/>
    <x v="4"/>
    <n v="211996"/>
    <n v="1031975"/>
    <n v="9.3261199999999995"/>
    <n v="-83.621780000000001"/>
    <n v="724"/>
    <s v="Low"/>
    <d v="2015-08-10T00:00:00"/>
    <d v="2015-10-03T00:00:00"/>
    <n v="55"/>
  </r>
  <r>
    <x v="7"/>
    <x v="0"/>
    <x v="0"/>
    <x v="0"/>
    <n v="211242.69"/>
    <n v="1033146.83"/>
    <n v="9.3366500420000005"/>
    <n v="-83.628716960000006"/>
    <n v="724"/>
    <s v="Moderate High"/>
    <d v="2012-08-25T00:00:00"/>
    <d v="2012-12-09T00:00:00"/>
    <n v="107"/>
  </r>
  <r>
    <x v="6"/>
    <x v="0"/>
    <x v="1"/>
    <x v="3"/>
    <n v="211816"/>
    <n v="1032611"/>
    <n v="9.3318499999999993"/>
    <n v="-83.623467000000005"/>
    <n v="736"/>
    <s v="Low"/>
    <d v="2015-08-14T00:00:00"/>
    <d v="2015-09-04T00:00:00"/>
    <n v="22"/>
  </r>
  <r>
    <x v="0"/>
    <x v="0"/>
    <x v="6"/>
    <x v="8"/>
    <n v="0"/>
    <n v="0"/>
    <n v="9.3607499999999995"/>
    <n v="-83.597016999999994"/>
    <n v="994"/>
    <s v="Low"/>
    <d v="2013-08-06T00:00:00"/>
    <d v="2013-12-17T00:00:00"/>
    <n v="134"/>
  </r>
  <r>
    <x v="3"/>
    <x v="0"/>
    <x v="6"/>
    <x v="8"/>
    <n v="0"/>
    <n v="0"/>
    <n v="9.3607499999999995"/>
    <n v="-83.597016999999994"/>
    <n v="994"/>
    <s v="Low"/>
    <d v="2014-03-11T00:00:00"/>
    <d v="2014-04-24T00:00:00"/>
    <n v="45"/>
  </r>
  <r>
    <x v="8"/>
    <x v="1"/>
    <x v="9"/>
    <x v="11"/>
    <n v="234018"/>
    <n v="1025058"/>
    <n v="9.2650250159999992"/>
    <n v="-83.421007990000007"/>
    <n v="958"/>
    <s v="Low"/>
    <m/>
    <m/>
    <n v="0"/>
  </r>
  <r>
    <x v="8"/>
    <x v="1"/>
    <x v="9"/>
    <x v="12"/>
    <n v="227276"/>
    <n v="1034146"/>
    <n v="9.3467289579999999"/>
    <n v="-83.482919999999993"/>
    <n v="1506"/>
    <s v="Low"/>
    <d v="2016-10-29T00:00:00"/>
    <d v="2016-11-26T00:00:00"/>
    <n v="29"/>
  </r>
  <r>
    <x v="8"/>
    <x v="1"/>
    <x v="9"/>
    <x v="13"/>
    <n v="227733"/>
    <n v="1034477"/>
    <n v="9.3497470299999996"/>
    <n v="-83.478779000000003"/>
    <n v="1672"/>
    <s v="Low"/>
    <m/>
    <m/>
    <n v="0"/>
  </r>
  <r>
    <x v="8"/>
    <x v="1"/>
    <x v="9"/>
    <x v="14"/>
    <n v="228225"/>
    <n v="1026627"/>
    <n v="9.2788389789999997"/>
    <n v="-83.473805010000007"/>
    <n v="851"/>
    <s v="Low"/>
    <d v="2016-09-12T00:00:00"/>
    <d v="2016-10-22T00:00:00"/>
    <n v="41"/>
  </r>
  <r>
    <x v="8"/>
    <x v="1"/>
    <x v="9"/>
    <x v="11"/>
    <n v="234018"/>
    <n v="1025058"/>
    <n v="9.2650250159999992"/>
    <n v="-83.421007990000007"/>
    <n v="958"/>
    <s v="Low"/>
    <m/>
    <m/>
    <n v="0"/>
  </r>
  <r>
    <x v="8"/>
    <x v="1"/>
    <x v="9"/>
    <x v="12"/>
    <n v="227276"/>
    <n v="1034146"/>
    <n v="9.3467289579999999"/>
    <n v="-83.482919999999993"/>
    <n v="1506"/>
    <s v="Low"/>
    <m/>
    <m/>
    <n v="0"/>
  </r>
  <r>
    <x v="8"/>
    <x v="1"/>
    <x v="9"/>
    <x v="13"/>
    <n v="227733"/>
    <n v="1034477"/>
    <n v="9.3497470299999996"/>
    <n v="-83.478779000000003"/>
    <n v="1672"/>
    <s v="Low"/>
    <m/>
    <m/>
    <n v="0"/>
  </r>
  <r>
    <x v="8"/>
    <x v="1"/>
    <x v="9"/>
    <x v="14"/>
    <n v="228225"/>
    <n v="1026627"/>
    <n v="9.2788389789999997"/>
    <n v="-83.473805010000007"/>
    <n v="851"/>
    <s v="Low"/>
    <d v="2017-01-20T00:00:00"/>
    <d v="2017-02-19T00:00:00"/>
    <n v="31"/>
  </r>
  <r>
    <x v="8"/>
    <x v="1"/>
    <x v="9"/>
    <x v="12"/>
    <n v="227276"/>
    <n v="1034146"/>
    <n v="9.3467289999999998"/>
    <n v="-83.482919999999993"/>
    <n v="1506"/>
    <s v="Low"/>
    <d v="2016-07-09T00:00:00"/>
    <d v="2016-10-28T00:00:00"/>
    <n v="177"/>
  </r>
  <r>
    <x v="8"/>
    <x v="1"/>
    <x v="9"/>
    <x v="13"/>
    <n v="227733"/>
    <n v="1034477"/>
    <n v="9.3497470000000007"/>
    <n v="-83.478779000000003"/>
    <n v="1672"/>
    <s v="Low"/>
    <d v="2016-07-09T00:00:00"/>
    <d v="2016-10-04T00:00:00"/>
    <n v="174"/>
  </r>
  <r>
    <x v="8"/>
    <x v="1"/>
    <x v="9"/>
    <x v="11"/>
    <n v="234018"/>
    <n v="1025058"/>
    <n v="9.2650249999999996"/>
    <n v="-83.421008"/>
    <n v="958"/>
    <s v="Low"/>
    <d v="2016-08-15T00:00:00"/>
    <d v="2016-10-15T00:00:00"/>
    <n v="0"/>
  </r>
  <r>
    <x v="8"/>
    <x v="1"/>
    <x v="9"/>
    <x v="14"/>
    <n v="228225"/>
    <n v="1026627"/>
    <n v="9.2788389999999996"/>
    <n v="-83.473804999999999"/>
    <n v="851"/>
    <s v="Low"/>
    <d v="2016-06-21T00:00:00"/>
    <d v="2016-09-11T00:00:00"/>
    <n v="83"/>
  </r>
  <r>
    <x v="8"/>
    <x v="1"/>
    <x v="9"/>
    <x v="15"/>
    <n v="227733"/>
    <n v="1034477"/>
    <n v="9.3497482210000005"/>
    <n v="-83.478781280000007"/>
    <n v="1672"/>
    <s v="Low"/>
    <d v="2017-03-31T00:00:00"/>
    <d v="2017-06-09T00:00:00"/>
    <n v="71"/>
  </r>
  <r>
    <x v="9"/>
    <x v="2"/>
    <x v="10"/>
    <x v="16"/>
    <n v="708419"/>
    <n v="1059776"/>
    <n v="9.5820299999999996"/>
    <n v="-85.100997000000007"/>
    <n v="78"/>
    <s v="Low"/>
    <d v="2016-11-26T00:00:00"/>
    <d v="2017-04-11T00:00:00"/>
    <n v="137"/>
  </r>
  <r>
    <x v="9"/>
    <x v="2"/>
    <x v="10"/>
    <x v="16"/>
    <n v="708419"/>
    <n v="1059776"/>
    <n v="9.5820299999999996"/>
    <n v="-85.100997000000007"/>
    <n v="78"/>
    <s v="Low"/>
    <d v="2017-11-15T00:00:00"/>
    <d v="2017-11-30T00:00:00"/>
    <n v="16"/>
  </r>
  <r>
    <x v="9"/>
    <x v="2"/>
    <x v="10"/>
    <x v="16"/>
    <n v="708419"/>
    <n v="1059776"/>
    <n v="9.5820299999999996"/>
    <n v="-85.100997000000007"/>
    <n v="78"/>
    <s v="Low"/>
    <d v="2017-12-01T00:00:00"/>
    <d v="2017-12-31T00:00:00"/>
    <n v="31"/>
  </r>
  <r>
    <x v="9"/>
    <x v="2"/>
    <x v="10"/>
    <x v="17"/>
    <n v="708997"/>
    <n v="1060299"/>
    <n v="9.5867290000000001"/>
    <n v="-85.095706000000007"/>
    <n v="116"/>
    <s v="Low"/>
    <m/>
    <m/>
    <n v="0"/>
  </r>
  <r>
    <x v="9"/>
    <x v="2"/>
    <x v="10"/>
    <x v="18"/>
    <n v="709195"/>
    <n v="1060522"/>
    <n v="9.5887349999999998"/>
    <n v="-85.093890999999999"/>
    <n v="63"/>
    <s v="Low"/>
    <d v="2017-11-15T00:00:00"/>
    <d v="2017-12-28T00:00:00"/>
    <n v="44"/>
  </r>
  <r>
    <x v="9"/>
    <x v="2"/>
    <x v="10"/>
    <x v="18"/>
    <n v="709195"/>
    <n v="1060522"/>
    <n v="9.5887349999999998"/>
    <n v="-85.093890999999999"/>
    <n v="63"/>
    <s v="Low"/>
    <d v="2016-11-30T00:00:00"/>
    <d v="2017-01-05T00:00:00"/>
    <n v="37"/>
  </r>
  <r>
    <x v="9"/>
    <x v="2"/>
    <x v="10"/>
    <x v="19"/>
    <n v="707540"/>
    <n v="1059606"/>
    <n v="9.5805369999999996"/>
    <n v="-85.109010999999995"/>
    <n v="276"/>
    <s v="Low"/>
    <d v="2017-11-07T00:00:00"/>
    <d v="2018-04-01T00:00:00"/>
    <n v="146"/>
  </r>
  <r>
    <x v="9"/>
    <x v="2"/>
    <x v="10"/>
    <x v="20"/>
    <n v="707080"/>
    <n v="1059626"/>
    <n v="9.5807409999999997"/>
    <n v="-85.113200000000006"/>
    <n v="321"/>
    <s v="Low"/>
    <d v="2016-11-20T00:00:00"/>
    <d v="2016-12-22T00:00:00"/>
    <n v="33"/>
  </r>
  <r>
    <x v="9"/>
    <x v="2"/>
    <x v="10"/>
    <x v="20"/>
    <n v="707080"/>
    <n v="1059626"/>
    <n v="9.5807409999999997"/>
    <n v="-85.113200000000006"/>
    <n v="321"/>
    <s v="Low"/>
    <d v="2016-12-22T00:00:00"/>
    <d v="2017-01-05T00:00:00"/>
    <n v="15"/>
  </r>
  <r>
    <x v="9"/>
    <x v="2"/>
    <x v="10"/>
    <x v="20"/>
    <n v="707080"/>
    <n v="1059626"/>
    <n v="9.5807409999999997"/>
    <n v="-85.113200000000006"/>
    <n v="321"/>
    <s v="Low"/>
    <d v="2017-01-05T00:00:00"/>
    <d v="2017-02-12T00:00:00"/>
    <n v="39"/>
  </r>
  <r>
    <x v="9"/>
    <x v="2"/>
    <x v="10"/>
    <x v="20"/>
    <n v="707080"/>
    <n v="1059626"/>
    <n v="9.5807409999999997"/>
    <n v="-85.113200000000006"/>
    <n v="321"/>
    <s v="Low"/>
    <d v="2017-02-12T00:00:00"/>
    <d v="2017-03-12T00:00:00"/>
    <n v="29"/>
  </r>
  <r>
    <x v="9"/>
    <x v="2"/>
    <x v="10"/>
    <x v="20"/>
    <n v="707080"/>
    <n v="1059626"/>
    <n v="9.5807409999999997"/>
    <n v="-85.113200000000006"/>
    <n v="321"/>
    <s v="Low"/>
    <d v="2017-03-12T00:00:00"/>
    <d v="2017-03-17T00:00:00"/>
    <n v="6"/>
  </r>
  <r>
    <x v="9"/>
    <x v="2"/>
    <x v="10"/>
    <x v="21"/>
    <n v="707420"/>
    <n v="1060618"/>
    <n v="9.5896910000000002"/>
    <n v="-85.110052999999994"/>
    <n v="195"/>
    <s v="Low"/>
    <d v="2017-11-13T00:00:00"/>
    <d v="2017-12-20T00:00:00"/>
    <n v="38"/>
  </r>
  <r>
    <x v="10"/>
    <x v="2"/>
    <x v="10"/>
    <x v="16"/>
    <n v="708419"/>
    <n v="1059776"/>
    <n v="9.5820299999999996"/>
    <n v="-85.100997000000007"/>
    <n v="78"/>
    <s v="Low"/>
    <d v="2018-01-02T00:00:00"/>
    <d v="2018-01-31T00:00:00"/>
    <n v="30"/>
  </r>
  <r>
    <x v="10"/>
    <x v="2"/>
    <x v="10"/>
    <x v="16"/>
    <n v="708419"/>
    <n v="1059776"/>
    <n v="9.5820299999999996"/>
    <n v="-85.100997000000007"/>
    <n v="78"/>
    <s v="Low"/>
    <d v="2018-02-01T00:00:00"/>
    <d v="2018-02-28T00:00:00"/>
    <n v="28"/>
  </r>
  <r>
    <x v="10"/>
    <x v="2"/>
    <x v="10"/>
    <x v="16"/>
    <n v="708419"/>
    <n v="1059776"/>
    <n v="9.5820299999999996"/>
    <n v="-85.100997000000007"/>
    <n v="78"/>
    <s v="Low"/>
    <d v="2018-03-01T00:00:00"/>
    <d v="2018-03-31T00:00:00"/>
    <n v="31"/>
  </r>
  <r>
    <x v="10"/>
    <x v="2"/>
    <x v="10"/>
    <x v="16"/>
    <n v="708419"/>
    <n v="1059776"/>
    <n v="9.5820299999999996"/>
    <n v="-85.100997000000007"/>
    <n v="78"/>
    <s v="Low"/>
    <d v="2018-04-01T00:00:00"/>
    <d v="2018-04-30T00:00:00"/>
    <n v="30"/>
  </r>
  <r>
    <x v="10"/>
    <x v="2"/>
    <x v="10"/>
    <x v="16"/>
    <n v="708419"/>
    <n v="1059776"/>
    <n v="9.5820299999999996"/>
    <n v="-85.100997000000007"/>
    <n v="78"/>
    <s v="Low"/>
    <d v="2018-05-01T00:00:00"/>
    <d v="2018-05-31T00:00:00"/>
    <n v="31"/>
  </r>
  <r>
    <x v="10"/>
    <x v="2"/>
    <x v="10"/>
    <x v="16"/>
    <n v="708419"/>
    <n v="1059776"/>
    <n v="9.5820299999999996"/>
    <n v="-85.100997000000007"/>
    <n v="78"/>
    <s v="Low"/>
    <d v="2018-06-01T00:00:00"/>
    <d v="2018-06-30T00:00:00"/>
    <n v="30"/>
  </r>
  <r>
    <x v="10"/>
    <x v="2"/>
    <x v="10"/>
    <x v="16"/>
    <n v="708419"/>
    <n v="1059776"/>
    <n v="9.5820299999999996"/>
    <n v="-85.100997000000007"/>
    <n v="78"/>
    <s v="Low"/>
    <d v="2018-07-01T00:00:00"/>
    <d v="2018-07-31T00:00:00"/>
    <n v="31"/>
  </r>
  <r>
    <x v="10"/>
    <x v="2"/>
    <x v="10"/>
    <x v="16"/>
    <n v="708419"/>
    <n v="1059776"/>
    <n v="9.5820299999999996"/>
    <n v="-85.100997000000007"/>
    <n v="78"/>
    <s v="Low"/>
    <d v="2018-08-01T00:00:00"/>
    <d v="2018-08-25T00:00:00"/>
    <n v="25"/>
  </r>
  <r>
    <x v="10"/>
    <x v="2"/>
    <x v="10"/>
    <x v="17"/>
    <n v="708997"/>
    <n v="1060299"/>
    <n v="9.5867290000000001"/>
    <n v="-85.095706000000007"/>
    <n v="116"/>
    <s v="Low"/>
    <d v="2017-11-19T00:00:00"/>
    <d v="2017-11-25T00:00:00"/>
    <n v="7"/>
  </r>
  <r>
    <x v="10"/>
    <x v="2"/>
    <x v="10"/>
    <x v="18"/>
    <n v="709195"/>
    <n v="1060522"/>
    <n v="9.5887349999999998"/>
    <n v="-85.093890999999999"/>
    <n v="63"/>
    <s v="Low"/>
    <d v="2017-12-28T00:00:00"/>
    <d v="2018-01-25T00:00:00"/>
    <n v="29"/>
  </r>
  <r>
    <x v="10"/>
    <x v="2"/>
    <x v="10"/>
    <x v="18"/>
    <n v="709195"/>
    <n v="1060522"/>
    <n v="9.5887349999999998"/>
    <n v="-85.093890999999999"/>
    <n v="63"/>
    <s v="Low"/>
    <d v="2018-01-25T00:00:00"/>
    <d v="2018-02-27T00:00:00"/>
    <n v="34"/>
  </r>
  <r>
    <x v="10"/>
    <x v="2"/>
    <x v="10"/>
    <x v="18"/>
    <n v="709195"/>
    <n v="1060522"/>
    <n v="9.5887349999999998"/>
    <n v="-85.093890999999999"/>
    <n v="63"/>
    <s v="Low"/>
    <d v="2018-02-27T00:00:00"/>
    <d v="2018-02-28T00:00:00"/>
    <n v="2"/>
  </r>
  <r>
    <x v="10"/>
    <x v="2"/>
    <x v="10"/>
    <x v="18"/>
    <n v="709195"/>
    <n v="1060522"/>
    <n v="9.5887349999999998"/>
    <n v="-85.093890999999999"/>
    <n v="63"/>
    <s v="Low"/>
    <d v="2018-02-28T00:00:00"/>
    <d v="2018-03-12T00:00:00"/>
    <n v="13"/>
  </r>
  <r>
    <x v="10"/>
    <x v="2"/>
    <x v="10"/>
    <x v="18"/>
    <n v="709195"/>
    <n v="1060522"/>
    <n v="9.5887349999999998"/>
    <n v="-85.093890999999999"/>
    <n v="63"/>
    <s v="Low"/>
    <d v="2018-03-12T00:00:00"/>
    <d v="2018-04-07T00:00:00"/>
    <n v="27"/>
  </r>
  <r>
    <x v="10"/>
    <x v="2"/>
    <x v="10"/>
    <x v="18"/>
    <n v="709195"/>
    <n v="1060522"/>
    <n v="9.5887349999999998"/>
    <n v="-85.093890999999999"/>
    <n v="63"/>
    <s v="Low"/>
    <d v="2018-04-07T00:00:00"/>
    <d v="2018-04-12T00:00:00"/>
    <n v="6"/>
  </r>
  <r>
    <x v="10"/>
    <x v="2"/>
    <x v="10"/>
    <x v="18"/>
    <n v="709195"/>
    <n v="1060522"/>
    <n v="9.5887349999999998"/>
    <n v="-85.093890999999999"/>
    <n v="63"/>
    <s v="Low"/>
    <d v="2018-04-10T00:00:00"/>
    <d v="2018-05-04T00:00:00"/>
    <n v="25"/>
  </r>
  <r>
    <x v="10"/>
    <x v="2"/>
    <x v="10"/>
    <x v="18"/>
    <n v="709195"/>
    <n v="1060522"/>
    <n v="9.5887349999999998"/>
    <n v="-85.093890999999999"/>
    <n v="63"/>
    <s v="Low"/>
    <d v="2018-05-04T00:00:00"/>
    <d v="2018-05-27T00:00:00"/>
    <n v="24"/>
  </r>
  <r>
    <x v="10"/>
    <x v="2"/>
    <x v="10"/>
    <x v="18"/>
    <n v="709195"/>
    <n v="1060522"/>
    <n v="9.5887349999999998"/>
    <n v="-85.093890999999999"/>
    <n v="63"/>
    <s v="Low"/>
    <d v="2018-05-28T00:00:00"/>
    <d v="2018-06-25T00:00:00"/>
    <n v="29"/>
  </r>
  <r>
    <x v="10"/>
    <x v="2"/>
    <x v="10"/>
    <x v="18"/>
    <n v="709195"/>
    <n v="1060522"/>
    <n v="9.5887349999999998"/>
    <n v="-85.093890999999999"/>
    <n v="63"/>
    <s v="Low"/>
    <d v="2018-07-01T00:00:00"/>
    <d v="2018-07-31T00:00:00"/>
    <n v="31"/>
  </r>
  <r>
    <x v="10"/>
    <x v="2"/>
    <x v="10"/>
    <x v="19"/>
    <n v="707540"/>
    <n v="1059606"/>
    <n v="9.5805369999999996"/>
    <n v="-85.109010999999995"/>
    <n v="276"/>
    <s v="Low"/>
    <d v="2017-11-07T00:00:00"/>
    <d v="2018-03-01T00:00:00"/>
    <n v="115"/>
  </r>
  <r>
    <x v="10"/>
    <x v="2"/>
    <x v="10"/>
    <x v="20"/>
    <n v="707080"/>
    <n v="1059626"/>
    <n v="9.5807409999999997"/>
    <n v="-85.113200000000006"/>
    <n v="321"/>
    <s v="Low"/>
    <d v="2017-11-13T00:00:00"/>
    <d v="2018-03-05T00:00:00"/>
    <n v="113"/>
  </r>
  <r>
    <x v="10"/>
    <x v="2"/>
    <x v="10"/>
    <x v="20"/>
    <n v="707080"/>
    <n v="1059626"/>
    <n v="9.5807409999999997"/>
    <n v="-85.113200000000006"/>
    <n v="321"/>
    <s v="Low"/>
    <d v="2018-03-05T00:00:00"/>
    <d v="2018-04-02T00:00:00"/>
    <n v="29"/>
  </r>
  <r>
    <x v="10"/>
    <x v="2"/>
    <x v="10"/>
    <x v="21"/>
    <n v="707420"/>
    <n v="1060618"/>
    <n v="9.5896910000000002"/>
    <n v="-85.110052999999994"/>
    <n v="195"/>
    <s v="Low"/>
    <d v="2018-02-26T00:00:00"/>
    <d v="2018-03-28T00:00:00"/>
    <n v="31"/>
  </r>
  <r>
    <x v="11"/>
    <x v="2"/>
    <x v="10"/>
    <x v="16"/>
    <n v="708419"/>
    <n v="1059776"/>
    <n v="9.5820299999999996"/>
    <n v="-85.100996539999997"/>
    <n v="78"/>
    <s v="Low"/>
    <m/>
    <m/>
    <n v="0"/>
  </r>
  <r>
    <x v="11"/>
    <x v="2"/>
    <x v="10"/>
    <x v="17"/>
    <n v="708997"/>
    <n v="1060299"/>
    <n v="9.5867290000000001"/>
    <n v="-85.09570574"/>
    <n v="116"/>
    <s v="Low"/>
    <d v="2017-11-19T00:00:00"/>
    <d v="2017-11-25T00:00:00"/>
    <n v="7"/>
  </r>
  <r>
    <x v="11"/>
    <x v="2"/>
    <x v="10"/>
    <x v="18"/>
    <n v="709195"/>
    <n v="1060522"/>
    <n v="9.5887349999999998"/>
    <n v="-85.093891080000006"/>
    <n v="63"/>
    <s v="Low"/>
    <m/>
    <m/>
    <n v="0"/>
  </r>
  <r>
    <x v="11"/>
    <x v="2"/>
    <x v="10"/>
    <x v="19"/>
    <n v="707540"/>
    <n v="1059606"/>
    <n v="9.5805369999999996"/>
    <n v="-85.109011019999997"/>
    <n v="276"/>
    <s v="Low"/>
    <m/>
    <m/>
    <n v="0"/>
  </r>
  <r>
    <x v="11"/>
    <x v="2"/>
    <x v="10"/>
    <x v="20"/>
    <n v="707080"/>
    <n v="1059626"/>
    <n v="9.5807409999999997"/>
    <n v="-85.113199719999997"/>
    <n v="321"/>
    <s v="Low"/>
    <m/>
    <m/>
    <n v="0"/>
  </r>
  <r>
    <x v="11"/>
    <x v="2"/>
    <x v="10"/>
    <x v="21"/>
    <n v="707420"/>
    <n v="1060618"/>
    <n v="9.5896910000000002"/>
    <n v="-85.110053339999993"/>
    <n v="195"/>
    <s v="Low"/>
    <m/>
    <m/>
    <n v="0"/>
  </r>
  <r>
    <x v="12"/>
    <x v="2"/>
    <x v="10"/>
    <x v="20"/>
    <n v="707080"/>
    <n v="1059626"/>
    <n v="9.5807409999999997"/>
    <n v="-85.113199719999997"/>
    <n v="321"/>
    <s v="Low"/>
    <d v="2016-03-26T00:00:00"/>
    <d v="2016-04-28T00:00:00"/>
    <n v="20"/>
  </r>
  <r>
    <x v="12"/>
    <x v="2"/>
    <x v="10"/>
    <x v="16"/>
    <n v="708419"/>
    <n v="1059776"/>
    <n v="9.5820299999999996"/>
    <n v="-85.100996539999997"/>
    <n v="78"/>
    <s v="Low"/>
    <d v="2016-04-07T00:00:00"/>
    <d v="2016-05-06T00:00:00"/>
    <n v="30"/>
  </r>
  <r>
    <x v="12"/>
    <x v="2"/>
    <x v="10"/>
    <x v="17"/>
    <n v="708997"/>
    <n v="1060299"/>
    <n v="9.5867290000000001"/>
    <n v="-85.09570574"/>
    <n v="116"/>
    <s v="Low"/>
    <d v="2016-03-25T00:00:00"/>
    <d v="2016-03-30T00:00:00"/>
    <n v="6"/>
  </r>
  <r>
    <x v="12"/>
    <x v="2"/>
    <x v="10"/>
    <x v="18"/>
    <n v="709195"/>
    <n v="1060522"/>
    <n v="9.5887349999999998"/>
    <n v="-85.093891080000006"/>
    <n v="63"/>
    <s v="Low"/>
    <d v="2016-03-21T00:00:00"/>
    <d v="2016-05-07T00:00:00"/>
    <n v="48"/>
  </r>
  <r>
    <x v="12"/>
    <x v="2"/>
    <x v="10"/>
    <x v="19"/>
    <n v="707540"/>
    <n v="1059606"/>
    <n v="9.5805369999999996"/>
    <n v="-85.109011019999997"/>
    <n v="276"/>
    <s v="Low"/>
    <d v="2016-04-09T00:00:00"/>
    <d v="2016-05-20T00:00:00"/>
    <n v="42"/>
  </r>
  <r>
    <x v="12"/>
    <x v="2"/>
    <x v="10"/>
    <x v="21"/>
    <n v="707420"/>
    <n v="1060618"/>
    <n v="9.5896910000000002"/>
    <n v="-85.110053339999993"/>
    <n v="195"/>
    <s v="Low"/>
    <d v="2016-04-01T00:00:00"/>
    <d v="2016-05-28T00:00:00"/>
    <n v="58"/>
  </r>
  <r>
    <x v="13"/>
    <x v="2"/>
    <x v="10"/>
    <x v="16"/>
    <n v="708419"/>
    <n v="1059776"/>
    <n v="9.5820299999999996"/>
    <n v="-85.100996539999997"/>
    <n v="78"/>
    <s v="Low"/>
    <m/>
    <m/>
    <n v="0"/>
  </r>
  <r>
    <x v="13"/>
    <x v="2"/>
    <x v="10"/>
    <x v="17"/>
    <n v="708997"/>
    <n v="1060299"/>
    <n v="9.5867290000000001"/>
    <n v="-85.09570574"/>
    <n v="116"/>
    <s v="Low"/>
    <m/>
    <m/>
    <n v="0"/>
  </r>
  <r>
    <x v="13"/>
    <x v="2"/>
    <x v="10"/>
    <x v="18"/>
    <n v="709195"/>
    <n v="1060522"/>
    <n v="9.5887349999999998"/>
    <n v="-85.093891080000006"/>
    <n v="63"/>
    <s v="Low"/>
    <m/>
    <m/>
    <n v="0"/>
  </r>
  <r>
    <x v="13"/>
    <x v="2"/>
    <x v="10"/>
    <x v="19"/>
    <n v="707540"/>
    <n v="1059606"/>
    <n v="9.5805369999999996"/>
    <n v="-85.109011019999997"/>
    <n v="276"/>
    <s v="Low"/>
    <m/>
    <m/>
    <n v="0"/>
  </r>
  <r>
    <x v="13"/>
    <x v="2"/>
    <x v="10"/>
    <x v="20"/>
    <n v="707080"/>
    <n v="1059626"/>
    <n v="9.5807409999999997"/>
    <n v="-85.113199719999997"/>
    <n v="321"/>
    <s v="Low"/>
    <m/>
    <m/>
    <n v="0"/>
  </r>
  <r>
    <x v="13"/>
    <x v="2"/>
    <x v="10"/>
    <x v="21"/>
    <n v="707420"/>
    <n v="1060618"/>
    <n v="9.5896910000000002"/>
    <n v="-85.110053339999993"/>
    <n v="195"/>
    <s v="Low"/>
    <m/>
    <m/>
    <n v="0"/>
  </r>
  <r>
    <x v="14"/>
    <x v="2"/>
    <x v="10"/>
    <x v="16"/>
    <n v="708419"/>
    <n v="1059776"/>
    <n v="9.5820299999999996"/>
    <n v="-85.100996539999997"/>
    <n v="78"/>
    <s v="Low"/>
    <m/>
    <m/>
    <n v="0"/>
  </r>
  <r>
    <x v="14"/>
    <x v="2"/>
    <x v="10"/>
    <x v="17"/>
    <n v="708997"/>
    <n v="1060299"/>
    <n v="9.5867290000000001"/>
    <n v="-85.09570574"/>
    <n v="116"/>
    <s v="Low"/>
    <m/>
    <m/>
    <n v="0"/>
  </r>
  <r>
    <x v="14"/>
    <x v="2"/>
    <x v="10"/>
    <x v="18"/>
    <n v="709195"/>
    <n v="1060522"/>
    <n v="9.5887349999999998"/>
    <n v="-85.093891080000006"/>
    <n v="63"/>
    <s v="Low"/>
    <m/>
    <m/>
    <n v="0"/>
  </r>
  <r>
    <x v="14"/>
    <x v="2"/>
    <x v="10"/>
    <x v="19"/>
    <n v="707540"/>
    <n v="1059606"/>
    <n v="9.5805369999999996"/>
    <n v="-85.109011019999997"/>
    <n v="276"/>
    <s v="Low"/>
    <m/>
    <m/>
    <n v="0"/>
  </r>
  <r>
    <x v="14"/>
    <x v="2"/>
    <x v="10"/>
    <x v="20"/>
    <n v="707080"/>
    <n v="1059626"/>
    <n v="9.5807409999999997"/>
    <n v="-85.113199719999997"/>
    <n v="321"/>
    <s v="Low"/>
    <m/>
    <m/>
    <n v="0"/>
  </r>
  <r>
    <x v="14"/>
    <x v="2"/>
    <x v="10"/>
    <x v="21"/>
    <n v="707420"/>
    <n v="1060618"/>
    <n v="9.5896910000000002"/>
    <n v="-85.110053339999993"/>
    <n v="195"/>
    <s v="Low"/>
    <m/>
    <m/>
    <n v="0"/>
  </r>
  <r>
    <x v="15"/>
    <x v="2"/>
    <x v="10"/>
    <x v="16"/>
    <n v="708419"/>
    <n v="1059776"/>
    <n v="9.5820299999999996"/>
    <n v="-85.100997000000007"/>
    <n v="78"/>
    <s v="Low"/>
    <d v="2015-07-17T00:00:00"/>
    <d v="2015-08-18T00:00:00"/>
    <n v="33"/>
  </r>
  <r>
    <x v="15"/>
    <x v="2"/>
    <x v="10"/>
    <x v="17"/>
    <n v="708997"/>
    <n v="1060299"/>
    <n v="9.5867290000000001"/>
    <n v="-85.09570574"/>
    <n v="116"/>
    <s v="Low"/>
    <d v="2015-07-17T00:00:00"/>
    <d v="2015-08-18T00:00:00"/>
    <n v="33"/>
  </r>
  <r>
    <x v="15"/>
    <x v="2"/>
    <x v="10"/>
    <x v="18"/>
    <n v="709195"/>
    <n v="1060522"/>
    <n v="9.5887349999999998"/>
    <n v="-85.093891080000006"/>
    <n v="63"/>
    <s v="Low"/>
    <d v="2015-07-18T00:00:00"/>
    <d v="2015-08-18T00:00:00"/>
    <n v="32"/>
  </r>
  <r>
    <x v="15"/>
    <x v="2"/>
    <x v="10"/>
    <x v="19"/>
    <n v="707540"/>
    <n v="1059606"/>
    <n v="9.5805369999999996"/>
    <n v="-85.109011019999997"/>
    <n v="276"/>
    <s v="Low"/>
    <d v="2015-07-18T00:00:00"/>
    <d v="2015-08-18T00:00:00"/>
    <n v="32"/>
  </r>
  <r>
    <x v="15"/>
    <x v="2"/>
    <x v="10"/>
    <x v="20"/>
    <n v="707080"/>
    <n v="1059626"/>
    <n v="9.5807409999999997"/>
    <n v="-85.113199719999997"/>
    <n v="321"/>
    <s v="Low"/>
    <d v="2015-07-18T00:00:00"/>
    <d v="2015-08-18T00:00:00"/>
    <n v="32"/>
  </r>
  <r>
    <x v="15"/>
    <x v="2"/>
    <x v="10"/>
    <x v="21"/>
    <n v="707420"/>
    <n v="1060618"/>
    <n v="9.5896910000000002"/>
    <n v="-85.110053339999993"/>
    <n v="195"/>
    <s v="Low"/>
    <d v="2015-07-18T00:00:00"/>
    <d v="2015-08-18T00:00:00"/>
    <n v="32"/>
  </r>
  <r>
    <x v="16"/>
    <x v="2"/>
    <x v="10"/>
    <x v="21"/>
    <n v="707420"/>
    <n v="1060618"/>
    <n v="9.5896910000000002"/>
    <n v="-85.110052999999994"/>
    <n v="195"/>
    <s v="Low"/>
    <d v="2016-05-29T00:00:00"/>
    <d v="2016-09-19T00:00:00"/>
    <n v="93"/>
  </r>
  <r>
    <x v="16"/>
    <x v="2"/>
    <x v="10"/>
    <x v="16"/>
    <n v="708419"/>
    <n v="1059776"/>
    <n v="9.5820299999999996"/>
    <n v="-85.100997000000007"/>
    <n v="78"/>
    <s v="Low"/>
    <d v="2016-05-23T00:00:00"/>
    <d v="2016-09-17T00:00:00"/>
    <n v="101"/>
  </r>
  <r>
    <x v="16"/>
    <x v="2"/>
    <x v="10"/>
    <x v="17"/>
    <n v="708997"/>
    <n v="1060299"/>
    <n v="9.5867290000000001"/>
    <n v="-85.095706000000007"/>
    <n v="116"/>
    <s v="Low"/>
    <d v="2016-05-21T00:00:00"/>
    <d v="2016-09-20T00:00:00"/>
    <n v="123"/>
  </r>
  <r>
    <x v="16"/>
    <x v="2"/>
    <x v="10"/>
    <x v="18"/>
    <n v="709195"/>
    <n v="1060522"/>
    <n v="9.5887349999999998"/>
    <n v="-85.093890999999999"/>
    <n v="63"/>
    <s v="Low"/>
    <d v="2016-05-20T00:00:00"/>
    <d v="2016-08-28T00:00:00"/>
    <n v="101"/>
  </r>
  <r>
    <x v="16"/>
    <x v="2"/>
    <x v="10"/>
    <x v="19"/>
    <n v="707540"/>
    <n v="1059606"/>
    <n v="9.5805369999999996"/>
    <n v="-85.109010999999995"/>
    <n v="276"/>
    <s v="Low"/>
    <d v="2016-05-21T00:00:00"/>
    <d v="2016-06-21T00:00:00"/>
    <n v="32"/>
  </r>
  <r>
    <x v="16"/>
    <x v="2"/>
    <x v="10"/>
    <x v="20"/>
    <n v="707080"/>
    <n v="1059626"/>
    <n v="9.5807409999999997"/>
    <n v="-85.113200000000006"/>
    <n v="321"/>
    <s v="Low"/>
    <d v="2016-05-28T00:00:00"/>
    <d v="2016-06-13T00:00:00"/>
    <n v="17"/>
  </r>
  <r>
    <x v="17"/>
    <x v="3"/>
    <x v="11"/>
    <x v="22"/>
    <n v="216187"/>
    <n v="1055367"/>
    <n v="9.5377519999999993"/>
    <n v="-83.585234"/>
    <n v="2938"/>
    <s v="Low"/>
    <d v="2019-03-21T00:00:00"/>
    <d v="2019-07-08T00:00:00"/>
    <n v="110"/>
  </r>
  <r>
    <x v="17"/>
    <x v="3"/>
    <x v="11"/>
    <x v="23"/>
    <n v="215945"/>
    <n v="1054548"/>
    <n v="9.5303400000000007"/>
    <n v="-83.587379999999996"/>
    <n v="2694"/>
    <s v="Low"/>
    <m/>
    <m/>
    <n v="0"/>
  </r>
  <r>
    <x v="17"/>
    <x v="3"/>
    <x v="12"/>
    <x v="24"/>
    <n v="221549"/>
    <n v="1045193"/>
    <n v="9.4461829999999996"/>
    <n v="-83.535749999999993"/>
    <n v="2858"/>
    <s v="High"/>
    <m/>
    <m/>
    <n v="0"/>
  </r>
  <r>
    <x v="17"/>
    <x v="3"/>
    <x v="12"/>
    <x v="25"/>
    <n v="222460"/>
    <n v="1044781"/>
    <n v="9.4425170000000005"/>
    <n v="-83.527433000000002"/>
    <n v="3107"/>
    <s v="High"/>
    <m/>
    <m/>
    <n v="0"/>
  </r>
  <r>
    <x v="17"/>
    <x v="3"/>
    <x v="11"/>
    <x v="26"/>
    <n v="218882"/>
    <n v="1054826"/>
    <n v="9.5330499999999994"/>
    <n v="-83.560666999999995"/>
    <n v="3265"/>
    <s v="Low"/>
    <m/>
    <m/>
    <n v="0"/>
  </r>
  <r>
    <x v="17"/>
    <x v="3"/>
    <x v="13"/>
    <x v="27"/>
    <n v="224433"/>
    <n v="1043313"/>
    <n v="9.4293829999999996"/>
    <n v="-83.509383"/>
    <n v="3113"/>
    <s v="Low"/>
    <m/>
    <m/>
    <n v="0"/>
  </r>
  <r>
    <x v="17"/>
    <x v="3"/>
    <x v="13"/>
    <x v="28"/>
    <n v="224828"/>
    <n v="1045786"/>
    <n v="9.4517500000000005"/>
    <n v="-83.505949999999999"/>
    <n v="3365"/>
    <s v="Low"/>
    <m/>
    <m/>
    <n v="0"/>
  </r>
  <r>
    <x v="17"/>
    <x v="3"/>
    <x v="14"/>
    <x v="29"/>
    <n v="225708"/>
    <n v="1038833"/>
    <n v="9.3875829999999993"/>
    <n v="-83.492982999999995"/>
    <n v="2243"/>
    <s v="Low"/>
    <m/>
    <m/>
    <n v="0"/>
  </r>
  <r>
    <x v="17"/>
    <x v="3"/>
    <x v="14"/>
    <x v="30"/>
    <n v="225594"/>
    <n v="1039301"/>
    <n v="9.3932000000000002"/>
    <n v="-83.498549999999994"/>
    <n v="2494"/>
    <s v="Low"/>
    <m/>
    <m/>
    <n v="0"/>
  </r>
  <r>
    <x v="17"/>
    <x v="3"/>
    <x v="13"/>
    <x v="31"/>
    <n v="224968"/>
    <n v="1040580"/>
    <n v="9.4047169999999998"/>
    <n v="-83.504333000000003"/>
    <n v="3029"/>
    <s v="Low"/>
    <d v="2019-01-02T00:00:00"/>
    <d v="2019-03-07T00:00:00"/>
    <n v="65"/>
  </r>
  <r>
    <x v="17"/>
    <x v="3"/>
    <x v="13"/>
    <x v="31"/>
    <n v="224968"/>
    <n v="1040580"/>
    <n v="9.4047169999999998"/>
    <n v="-83.504333000000003"/>
    <n v="3029"/>
    <s v="Low"/>
    <d v="2019-01-02T00:00:00"/>
    <d v="2019-04-15T00:00:00"/>
    <n v="104"/>
  </r>
  <r>
    <x v="17"/>
    <x v="3"/>
    <x v="15"/>
    <x v="32"/>
    <n v="554363"/>
    <n v="1045708"/>
    <n v="9.4596400000000003"/>
    <n v="-80.504769999999994"/>
    <m/>
    <s v="Low"/>
    <m/>
    <m/>
    <n v="0"/>
  </r>
  <r>
    <x v="17"/>
    <x v="3"/>
    <x v="15"/>
    <x v="33"/>
    <n v="554363"/>
    <n v="1045708"/>
    <n v="9.4596400000000003"/>
    <n v="-80.504769999999994"/>
    <m/>
    <s v="Low"/>
    <m/>
    <m/>
    <n v="0"/>
  </r>
  <r>
    <x v="17"/>
    <x v="3"/>
    <x v="15"/>
    <x v="34"/>
    <n v="554363"/>
    <n v="1045708"/>
    <n v="9.4596400000000003"/>
    <n v="-80.504769999999994"/>
    <m/>
    <s v="Low"/>
    <m/>
    <m/>
    <n v="0"/>
  </r>
  <r>
    <x v="17"/>
    <x v="3"/>
    <x v="11"/>
    <x v="22"/>
    <n v="216187"/>
    <n v="1055367"/>
    <n v="9.5377519999999993"/>
    <n v="-83.585234"/>
    <n v="2938"/>
    <s v="Low"/>
    <m/>
    <m/>
    <n v="0"/>
  </r>
  <r>
    <x v="17"/>
    <x v="3"/>
    <x v="11"/>
    <x v="23"/>
    <n v="215945"/>
    <n v="1054548"/>
    <n v="9.5303400000000007"/>
    <n v="-83.587379999999996"/>
    <n v="2694"/>
    <s v="Low"/>
    <m/>
    <m/>
    <n v="0"/>
  </r>
  <r>
    <x v="17"/>
    <x v="3"/>
    <x v="12"/>
    <x v="24"/>
    <n v="221549"/>
    <n v="1045193"/>
    <n v="9.4461829999999996"/>
    <n v="-83.535749999999993"/>
    <n v="2858"/>
    <s v="High"/>
    <m/>
    <m/>
    <n v="0"/>
  </r>
  <r>
    <x v="17"/>
    <x v="3"/>
    <x v="12"/>
    <x v="25"/>
    <n v="222460"/>
    <n v="1044781"/>
    <n v="9.4425170000000005"/>
    <n v="-83.527433000000002"/>
    <n v="3107"/>
    <s v="High"/>
    <m/>
    <m/>
    <n v="0"/>
  </r>
  <r>
    <x v="17"/>
    <x v="3"/>
    <x v="11"/>
    <x v="26"/>
    <n v="218882"/>
    <n v="1054826"/>
    <n v="9.5330499999999994"/>
    <n v="-83.560666999999995"/>
    <n v="3265"/>
    <s v="Low"/>
    <m/>
    <m/>
    <n v="0"/>
  </r>
  <r>
    <x v="17"/>
    <x v="3"/>
    <x v="13"/>
    <x v="27"/>
    <n v="224433"/>
    <n v="1043313"/>
    <n v="9.4293829999999996"/>
    <n v="-83.509383"/>
    <n v="3113"/>
    <s v="Low"/>
    <m/>
    <m/>
    <n v="0"/>
  </r>
  <r>
    <x v="17"/>
    <x v="3"/>
    <x v="13"/>
    <x v="28"/>
    <n v="224828"/>
    <n v="1045786"/>
    <n v="9.4517500000000005"/>
    <n v="-83.505949999999999"/>
    <n v="3365"/>
    <s v="Low"/>
    <m/>
    <m/>
    <n v="0"/>
  </r>
  <r>
    <x v="17"/>
    <x v="3"/>
    <x v="14"/>
    <x v="29"/>
    <n v="225708"/>
    <n v="1038833"/>
    <n v="9.3875829999999993"/>
    <n v="-83.492982999999995"/>
    <n v="2243"/>
    <m/>
    <m/>
    <m/>
    <n v="0"/>
  </r>
  <r>
    <x v="17"/>
    <x v="3"/>
    <x v="14"/>
    <x v="30"/>
    <n v="225594"/>
    <n v="1039301"/>
    <n v="9.3932000000000002"/>
    <n v="-83.498549999999994"/>
    <n v="2494"/>
    <s v="Unknown"/>
    <m/>
    <m/>
    <n v="0"/>
  </r>
  <r>
    <x v="17"/>
    <x v="3"/>
    <x v="13"/>
    <x v="31"/>
    <n v="224968"/>
    <n v="1040580"/>
    <n v="9.4047169999999998"/>
    <n v="-83.504333000000003"/>
    <n v="3029"/>
    <s v="Low"/>
    <m/>
    <m/>
    <n v="0"/>
  </r>
  <r>
    <x v="17"/>
    <x v="3"/>
    <x v="13"/>
    <x v="31"/>
    <n v="224968"/>
    <n v="1040580"/>
    <n v="9.4047169999999998"/>
    <n v="-83.504333000000003"/>
    <n v="3029"/>
    <s v="Low"/>
    <m/>
    <m/>
    <n v="0"/>
  </r>
  <r>
    <x v="17"/>
    <x v="3"/>
    <x v="4"/>
    <x v="35"/>
    <m/>
    <m/>
    <m/>
    <m/>
    <m/>
    <m/>
    <m/>
    <m/>
    <n v="0"/>
  </r>
  <r>
    <x v="17"/>
    <x v="3"/>
    <x v="15"/>
    <x v="32"/>
    <n v="554363"/>
    <n v="1045708"/>
    <n v="9.4596400000000003"/>
    <n v="-80.504769999999994"/>
    <m/>
    <s v="Low"/>
    <m/>
    <m/>
    <n v="0"/>
  </r>
  <r>
    <x v="17"/>
    <x v="3"/>
    <x v="15"/>
    <x v="33"/>
    <n v="554363"/>
    <n v="1045708"/>
    <n v="9.4596400000000003"/>
    <n v="-80.504769999999994"/>
    <m/>
    <s v="Low"/>
    <m/>
    <m/>
    <n v="0"/>
  </r>
  <r>
    <x v="17"/>
    <x v="3"/>
    <x v="15"/>
    <x v="34"/>
    <n v="554363"/>
    <n v="1045708"/>
    <n v="9.4596400000000003"/>
    <n v="-80.504769999999994"/>
    <m/>
    <s v="Low"/>
    <m/>
    <m/>
    <n v="0"/>
  </r>
  <r>
    <x v="7"/>
    <x v="3"/>
    <x v="12"/>
    <x v="36"/>
    <n v="218685"/>
    <n v="1046732"/>
    <n v="9.4598999999999993"/>
    <n v="-83.561916999999994"/>
    <n v="2308"/>
    <s v="High"/>
    <d v="2012-08-10T00:00:00"/>
    <d v="2012-11-23T00:00:00"/>
    <n v="106"/>
  </r>
  <r>
    <x v="7"/>
    <x v="3"/>
    <x v="12"/>
    <x v="37"/>
    <n v="220217"/>
    <n v="1046347"/>
    <n v="9.4565169999999998"/>
    <n v="-83.54795"/>
    <n v="2490"/>
    <s v="High"/>
    <d v="2012-08-15T00:00:00"/>
    <d v="2012-11-16T00:00:00"/>
    <n v="94"/>
  </r>
  <r>
    <x v="7"/>
    <x v="3"/>
    <x v="12"/>
    <x v="24"/>
    <n v="221549"/>
    <n v="1045193"/>
    <n v="9.4461829999999996"/>
    <n v="-83.535749999999993"/>
    <n v="2858"/>
    <s v="High"/>
    <d v="2012-08-19T00:00:00"/>
    <d v="2012-11-09T00:00:00"/>
    <n v="83"/>
  </r>
  <r>
    <x v="7"/>
    <x v="3"/>
    <x v="12"/>
    <x v="25"/>
    <n v="224460"/>
    <n v="1044781"/>
    <n v="9.4425170000000005"/>
    <n v="-83.527433000000002"/>
    <n v="3107"/>
    <s v="High"/>
    <d v="2012-08-10T00:00:00"/>
    <d v="2012-11-21T00:00:00"/>
    <n v="104"/>
  </r>
  <r>
    <x v="7"/>
    <x v="3"/>
    <x v="13"/>
    <x v="28"/>
    <n v="224828"/>
    <n v="1045786"/>
    <n v="9.4517500000000005"/>
    <n v="-83.505949999999999"/>
    <n v="3365"/>
    <s v="Low"/>
    <d v="2012-08-10T00:00:00"/>
    <d v="2012-12-04T00:00:00"/>
    <n v="117"/>
  </r>
  <r>
    <x v="7"/>
    <x v="3"/>
    <x v="16"/>
    <x v="38"/>
    <n v="225346"/>
    <n v="1047027"/>
    <n v="9.4629999999999992"/>
    <n v="-83.501317"/>
    <n v="3464"/>
    <s v="Low"/>
    <d v="2012-08-26T00:00:00"/>
    <d v="2012-11-30T00:00:00"/>
    <n v="97"/>
  </r>
  <r>
    <x v="0"/>
    <x v="3"/>
    <x v="12"/>
    <x v="36"/>
    <n v="218685"/>
    <n v="1046732"/>
    <n v="9.4598999999999993"/>
    <n v="-83.561916999999994"/>
    <n v="2938"/>
    <s v="High"/>
    <d v="2013-06-19T00:00:00"/>
    <d v="2014-01-16T00:00:00"/>
    <n v="212"/>
  </r>
  <r>
    <x v="0"/>
    <x v="3"/>
    <x v="12"/>
    <x v="37"/>
    <n v="220217"/>
    <n v="1046347"/>
    <n v="9.4565169999999998"/>
    <n v="-83.561916999999994"/>
    <n v="2694"/>
    <s v="High"/>
    <d v="2013-06-11T00:00:00"/>
    <d v="2013-10-08T00:00:00"/>
    <n v="120"/>
  </r>
  <r>
    <x v="0"/>
    <x v="3"/>
    <x v="12"/>
    <x v="24"/>
    <n v="221549"/>
    <n v="1045193"/>
    <n v="9.4461829999999996"/>
    <n v="-83.535749999999993"/>
    <n v="2858"/>
    <s v="High"/>
    <d v="2013-07-06T00:00:00"/>
    <d v="2013-07-18T00:00:00"/>
    <n v="13"/>
  </r>
  <r>
    <x v="0"/>
    <x v="3"/>
    <x v="12"/>
    <x v="25"/>
    <n v="222460"/>
    <n v="1044781"/>
    <n v="9.4425170000000005"/>
    <n v="-83.527433000000002"/>
    <n v="3107"/>
    <s v="High"/>
    <d v="2013-07-19T00:00:00"/>
    <d v="2014-01-08T00:00:00"/>
    <n v="174"/>
  </r>
  <r>
    <x v="0"/>
    <x v="3"/>
    <x v="13"/>
    <x v="27"/>
    <n v="224433"/>
    <n v="1043313"/>
    <n v="9.4293829999999996"/>
    <n v="-83.509383"/>
    <n v="3113"/>
    <s v="Low"/>
    <d v="2013-07-04T00:00:00"/>
    <d v="2013-12-28T00:00:00"/>
    <n v="178"/>
  </r>
  <r>
    <x v="0"/>
    <x v="3"/>
    <x v="13"/>
    <x v="28"/>
    <n v="224828"/>
    <n v="1045786"/>
    <n v="9.4517500000000005"/>
    <n v="-83.505949999999999"/>
    <n v="3365"/>
    <s v="Low"/>
    <d v="2013-08-04T00:00:00"/>
    <d v="2013-10-28T00:00:00"/>
    <n v="86"/>
  </r>
  <r>
    <x v="0"/>
    <x v="3"/>
    <x v="11"/>
    <x v="38"/>
    <n v="218882"/>
    <n v="1054826"/>
    <n v="9.4629999999999992"/>
    <n v="-83.501317"/>
    <n v="3265"/>
    <s v="Low"/>
    <d v="2013-07-21T00:00:00"/>
    <d v="2013-12-27T00:00:00"/>
    <n v="160"/>
  </r>
  <r>
    <x v="0"/>
    <x v="3"/>
    <x v="11"/>
    <x v="29"/>
    <n v="225708"/>
    <n v="1038833"/>
    <n v="9.3875829999999993"/>
    <n v="-83.492982999999995"/>
    <n v="2243"/>
    <s v="Low"/>
    <d v="2013-09-17T00:00:00"/>
    <d v="2013-12-18T00:00:00"/>
    <n v="93"/>
  </r>
  <r>
    <x v="0"/>
    <x v="3"/>
    <x v="13"/>
    <x v="31"/>
    <n v="224968"/>
    <n v="1040580"/>
    <n v="9.4047169999999998"/>
    <n v="-83.504333000000003"/>
    <n v="3029"/>
    <s v="Low"/>
    <d v="2014-02-23T00:00:00"/>
    <d v="2014-02-23T00:00:00"/>
    <n v="1"/>
  </r>
  <r>
    <x v="1"/>
    <x v="3"/>
    <x v="13"/>
    <x v="27"/>
    <n v="224433"/>
    <n v="1043313"/>
    <n v="9.4293829999999996"/>
    <n v="-83.509383"/>
    <n v="3113"/>
    <s v="Low"/>
    <d v="2014-08-06T00:00:00"/>
    <d v="2014-12-09T00:00:00"/>
    <n v="126"/>
  </r>
  <r>
    <x v="1"/>
    <x v="3"/>
    <x v="13"/>
    <x v="28"/>
    <n v="224828"/>
    <n v="1045786"/>
    <n v="9.4517500000000005"/>
    <n v="-83.505949999999999"/>
    <n v="3365"/>
    <s v="Low"/>
    <d v="2014-08-27T00:00:00"/>
    <d v="2014-12-09T00:00:00"/>
    <n v="105"/>
  </r>
  <r>
    <x v="1"/>
    <x v="3"/>
    <x v="14"/>
    <x v="29"/>
    <n v="225708"/>
    <n v="1038833"/>
    <n v="9.3875829999999993"/>
    <n v="-83.492982999999995"/>
    <n v="2243"/>
    <s v="Low"/>
    <d v="2014-09-04T00:00:00"/>
    <d v="2014-12-21T00:00:00"/>
    <n v="109"/>
  </r>
  <r>
    <x v="1"/>
    <x v="3"/>
    <x v="14"/>
    <x v="30"/>
    <n v="225594"/>
    <n v="1039301"/>
    <n v="9.3932000000000002"/>
    <n v="-83.498549999999994"/>
    <n v="2494"/>
    <s v="Low"/>
    <d v="2014-09-01T00:00:00"/>
    <d v="2014-12-26T00:00:00"/>
    <n v="117"/>
  </r>
  <r>
    <x v="18"/>
    <x v="3"/>
    <x v="12"/>
    <x v="24"/>
    <n v="221549"/>
    <n v="1045193"/>
    <n v="9.4461829999999996"/>
    <n v="-83.535749999999993"/>
    <n v="2858"/>
    <m/>
    <m/>
    <m/>
    <m/>
  </r>
  <r>
    <x v="18"/>
    <x v="3"/>
    <x v="13"/>
    <x v="28"/>
    <n v="224828"/>
    <n v="1045786"/>
    <n v="9.4517500000000005"/>
    <n v="-83.505949999999999"/>
    <n v="3365"/>
    <m/>
    <d v="2016-11-10T00:00:00"/>
    <d v="2016-12-05T00:00:00"/>
    <n v="21"/>
  </r>
  <r>
    <x v="18"/>
    <x v="3"/>
    <x v="11"/>
    <x v="22"/>
    <n v="216187"/>
    <n v="1055367"/>
    <n v="9.5377519999999993"/>
    <n v="-83.585234"/>
    <n v="2938"/>
    <s v="Low"/>
    <d v="2016-08-09T00:00:00"/>
    <d v="2016-11-05T00:00:00"/>
    <n v="89"/>
  </r>
  <r>
    <x v="18"/>
    <x v="3"/>
    <x v="11"/>
    <x v="37"/>
    <n v="215945"/>
    <n v="1054550"/>
    <n v="9.4565000000000001"/>
    <n v="-83.561916999999994"/>
    <n v="2694"/>
    <m/>
    <d v="2016-10-09T00:00:00"/>
    <d v="2017-03-21T00:00:00"/>
    <n v="164"/>
  </r>
  <r>
    <x v="18"/>
    <x v="3"/>
    <x v="12"/>
    <x v="25"/>
    <n v="222460"/>
    <n v="1044781"/>
    <n v="9.4425170000000005"/>
    <n v="-83.527433000000002"/>
    <n v="3107"/>
    <m/>
    <d v="2016-11-22T00:00:00"/>
    <d v="2016-12-14T00:00:00"/>
    <n v="23"/>
  </r>
  <r>
    <x v="18"/>
    <x v="3"/>
    <x v="11"/>
    <x v="26"/>
    <n v="218882"/>
    <n v="1054826"/>
    <n v="9.5330499999999994"/>
    <n v="-83.560666999999995"/>
    <n v="3265"/>
    <m/>
    <d v="2016-08-09T00:00:00"/>
    <d v="2016-12-31T00:00:00"/>
    <n v="145"/>
  </r>
  <r>
    <x v="18"/>
    <x v="3"/>
    <x v="13"/>
    <x v="27"/>
    <n v="224433"/>
    <n v="1043313"/>
    <n v="9.4293829999999996"/>
    <n v="-83.509383"/>
    <n v="3113"/>
    <m/>
    <m/>
    <m/>
    <n v="0"/>
  </r>
  <r>
    <x v="18"/>
    <x v="3"/>
    <x v="14"/>
    <x v="29"/>
    <n v="225708"/>
    <n v="1038833"/>
    <n v="9.3875829999999993"/>
    <n v="-83.492982999999995"/>
    <n v="2243"/>
    <m/>
    <d v="2016-09-01T00:00:00"/>
    <d v="2016-11-30T00:00:00"/>
    <n v="91"/>
  </r>
  <r>
    <x v="18"/>
    <x v="3"/>
    <x v="14"/>
    <x v="30"/>
    <n v="225594"/>
    <n v="1039301"/>
    <n v="9.3932000000000002"/>
    <n v="-83.498549999999994"/>
    <n v="2494"/>
    <m/>
    <d v="2016-08-17T00:00:00"/>
    <d v="2016-10-18T00:00:00"/>
    <n v="63"/>
  </r>
  <r>
    <x v="18"/>
    <x v="3"/>
    <x v="13"/>
    <x v="31"/>
    <n v="224968"/>
    <n v="1040580"/>
    <n v="9.4047169999999998"/>
    <n v="-83.504333000000003"/>
    <n v="3029"/>
    <m/>
    <d v="2016-09-21T00:00:00"/>
    <d v="2016-12-31T00:00:00"/>
    <n v="102"/>
  </r>
  <r>
    <x v="18"/>
    <x v="3"/>
    <x v="15"/>
    <x v="32"/>
    <n v="554363"/>
    <n v="1045708"/>
    <n v="9.4596400000000003"/>
    <n v="-80.504769999999994"/>
    <m/>
    <m/>
    <d v="2016-11-20T00:00:00"/>
    <d v="2016-12-08T00:00:00"/>
    <n v="0"/>
  </r>
  <r>
    <x v="18"/>
    <x v="3"/>
    <x v="15"/>
    <x v="33"/>
    <n v="554363"/>
    <n v="1045708"/>
    <n v="9.4596400000000003"/>
    <n v="-80.504769999999994"/>
    <m/>
    <m/>
    <d v="2016-12-09T00:00:00"/>
    <d v="2017-01-01T00:00:00"/>
    <n v="0"/>
  </r>
  <r>
    <x v="18"/>
    <x v="3"/>
    <x v="15"/>
    <x v="34"/>
    <n v="554363"/>
    <n v="1045708"/>
    <n v="9.4596400000000003"/>
    <n v="-80.504769999999994"/>
    <m/>
    <m/>
    <m/>
    <m/>
    <n v="0"/>
  </r>
  <r>
    <x v="11"/>
    <x v="3"/>
    <x v="11"/>
    <x v="22"/>
    <n v="216187"/>
    <n v="1055367"/>
    <n v="9.5377519999999993"/>
    <n v="-83.585234"/>
    <n v="2938"/>
    <s v="Low"/>
    <d v="2017-08-08T00:00:00"/>
    <d v="2017-08-29T00:00:00"/>
    <n v="22"/>
  </r>
  <r>
    <x v="11"/>
    <x v="3"/>
    <x v="12"/>
    <x v="24"/>
    <n v="221549"/>
    <n v="1045193"/>
    <n v="9.4461829999999996"/>
    <n v="-83.535749999999993"/>
    <n v="2858"/>
    <s v="Low"/>
    <d v="2017-05-15T00:00:00"/>
    <d v="2017-06-08T00:00:00"/>
    <n v="25"/>
  </r>
  <r>
    <x v="11"/>
    <x v="3"/>
    <x v="11"/>
    <x v="37"/>
    <n v="215945"/>
    <n v="1054550"/>
    <n v="9.4565000000000001"/>
    <n v="-83.561916999999994"/>
    <n v="2694"/>
    <s v="High"/>
    <m/>
    <m/>
    <n v="0"/>
  </r>
  <r>
    <x v="11"/>
    <x v="3"/>
    <x v="12"/>
    <x v="25"/>
    <n v="222460"/>
    <n v="1044781"/>
    <n v="9.4425170000000005"/>
    <n v="-83.527433000000002"/>
    <n v="3107"/>
    <s v="Low"/>
    <m/>
    <m/>
    <n v="0"/>
  </r>
  <r>
    <x v="11"/>
    <x v="3"/>
    <x v="11"/>
    <x v="26"/>
    <n v="218882"/>
    <n v="1054826"/>
    <n v="9.5330499999999994"/>
    <n v="-83.560666999999995"/>
    <n v="3265"/>
    <s v="Low"/>
    <m/>
    <m/>
    <n v="0"/>
  </r>
  <r>
    <x v="11"/>
    <x v="3"/>
    <x v="13"/>
    <x v="27"/>
    <n v="224433"/>
    <n v="1043313"/>
    <n v="9.4293829999999996"/>
    <n v="-83.509383"/>
    <n v="3113"/>
    <s v="Unknown"/>
    <m/>
    <m/>
    <n v="0"/>
  </r>
  <r>
    <x v="11"/>
    <x v="3"/>
    <x v="13"/>
    <x v="28"/>
    <n v="224828"/>
    <n v="1045786"/>
    <n v="9.4517500000000005"/>
    <n v="-83.505949999999999"/>
    <n v="3365"/>
    <s v="Low"/>
    <m/>
    <m/>
    <n v="0"/>
  </r>
  <r>
    <x v="11"/>
    <x v="3"/>
    <x v="14"/>
    <x v="29"/>
    <n v="225708"/>
    <n v="1038833"/>
    <n v="9.3875829999999993"/>
    <n v="-83.492982999999995"/>
    <n v="2243"/>
    <s v="Low"/>
    <m/>
    <m/>
    <n v="0"/>
  </r>
  <r>
    <x v="11"/>
    <x v="3"/>
    <x v="14"/>
    <x v="30"/>
    <n v="225594"/>
    <n v="1039301"/>
    <n v="9.3932000000000002"/>
    <n v="-83.498549999999994"/>
    <n v="2494"/>
    <s v="Low"/>
    <m/>
    <m/>
    <n v="0"/>
  </r>
  <r>
    <x v="11"/>
    <x v="3"/>
    <x v="13"/>
    <x v="31"/>
    <n v="224968"/>
    <n v="1040580"/>
    <n v="9.4047169999999998"/>
    <n v="-83.504333000000003"/>
    <n v="3029"/>
    <s v="Low"/>
    <m/>
    <m/>
    <n v="0"/>
  </r>
  <r>
    <x v="11"/>
    <x v="3"/>
    <x v="15"/>
    <x v="32"/>
    <n v="554363"/>
    <n v="1045708"/>
    <n v="9.4596400000000003"/>
    <n v="-80.504769999999994"/>
    <m/>
    <s v="Low"/>
    <m/>
    <m/>
    <n v="0"/>
  </r>
  <r>
    <x v="11"/>
    <x v="3"/>
    <x v="15"/>
    <x v="33"/>
    <n v="554363"/>
    <n v="1045708"/>
    <n v="9.4596400000000003"/>
    <n v="-80.504769999999994"/>
    <m/>
    <s v="Low"/>
    <m/>
    <m/>
    <n v="0"/>
  </r>
  <r>
    <x v="11"/>
    <x v="3"/>
    <x v="15"/>
    <x v="34"/>
    <n v="554363"/>
    <n v="1045708"/>
    <n v="9.4596400000000003"/>
    <n v="-80.504769999999994"/>
    <m/>
    <s v="Low"/>
    <m/>
    <m/>
    <n v="0"/>
  </r>
  <r>
    <x v="2"/>
    <x v="3"/>
    <x v="12"/>
    <x v="36"/>
    <n v="218685"/>
    <n v="1046732"/>
    <n v="9.4598999999999993"/>
    <n v="-83.561916999999994"/>
    <n v="2308"/>
    <s v="High"/>
    <d v="2013-01-25T00:00:00"/>
    <d v="2013-06-19T00:00:00"/>
    <n v="142"/>
  </r>
  <r>
    <x v="2"/>
    <x v="3"/>
    <x v="12"/>
    <x v="37"/>
    <n v="220217"/>
    <n v="1046347"/>
    <n v="9.4565169999999998"/>
    <n v="-83.54795"/>
    <n v="2490"/>
    <s v="High"/>
    <d v="2013-01-17T00:00:00"/>
    <d v="2013-06-11T00:00:00"/>
    <n v="146"/>
  </r>
  <r>
    <x v="2"/>
    <x v="3"/>
    <x v="12"/>
    <x v="24"/>
    <n v="221549"/>
    <n v="1045193"/>
    <n v="9.4461829999999996"/>
    <n v="-83.535749999999993"/>
    <n v="2858"/>
    <s v="High"/>
    <d v="2013-01-17T00:00:00"/>
    <d v="2013-06-05T00:00:00"/>
    <n v="140"/>
  </r>
  <r>
    <x v="2"/>
    <x v="3"/>
    <x v="12"/>
    <x v="25"/>
    <n v="224460"/>
    <n v="1044781"/>
    <n v="9.4425170000000005"/>
    <n v="-83.527433000000002"/>
    <n v="3107"/>
    <s v="High"/>
    <d v="2013-01-17T00:00:00"/>
    <d v="2013-06-15T00:00:00"/>
    <n v="150"/>
  </r>
  <r>
    <x v="2"/>
    <x v="3"/>
    <x v="13"/>
    <x v="28"/>
    <n v="224828"/>
    <n v="1045786"/>
    <n v="9.4517500000000005"/>
    <n v="-83.505949999999999"/>
    <n v="3365"/>
    <s v="Low"/>
    <d v="2013-01-20T00:00:00"/>
    <d v="2013-06-15T00:00:00"/>
    <n v="147"/>
  </r>
  <r>
    <x v="2"/>
    <x v="3"/>
    <x v="16"/>
    <x v="38"/>
    <n v="225346"/>
    <n v="1047027"/>
    <n v="9.4629999999999992"/>
    <n v="-83.501317"/>
    <n v="3464"/>
    <s v="Low"/>
    <d v="2013-01-26T00:00:00"/>
    <d v="2013-07-02T00:00:00"/>
    <n v="158"/>
  </r>
  <r>
    <x v="3"/>
    <x v="3"/>
    <x v="12"/>
    <x v="37"/>
    <n v="215945"/>
    <n v="1054550"/>
    <n v="9.4565169999999998"/>
    <n v="-83.54795"/>
    <n v="2694"/>
    <s v="High"/>
    <d v="2014-04-29T00:00:00"/>
    <d v="2014-04-29T00:00:00"/>
    <n v="1"/>
  </r>
  <r>
    <x v="3"/>
    <x v="3"/>
    <x v="12"/>
    <x v="24"/>
    <n v="221549"/>
    <n v="1045193"/>
    <n v="9.4461829999999996"/>
    <n v="-83.535749999999993"/>
    <n v="2858"/>
    <s v="High"/>
    <d v="2014-05-15T00:00:00"/>
    <d v="2014-05-15T00:00:00"/>
    <n v="1"/>
  </r>
  <r>
    <x v="3"/>
    <x v="3"/>
    <x v="13"/>
    <x v="27"/>
    <n v="224433"/>
    <n v="1043313"/>
    <n v="9.4293829999999996"/>
    <n v="-83.509383"/>
    <n v="3113"/>
    <s v="Low"/>
    <d v="2013-12-29T00:00:00"/>
    <d v="2014-06-05T00:00:00"/>
    <n v="159"/>
  </r>
  <r>
    <x v="3"/>
    <x v="3"/>
    <x v="13"/>
    <x v="28"/>
    <n v="224828"/>
    <n v="1045786"/>
    <n v="9.4517500000000005"/>
    <n v="-83.505949999999999"/>
    <n v="3365"/>
    <s v="Low"/>
    <d v="2013-12-30T00:00:00"/>
    <d v="2014-01-19T00:00:00"/>
    <n v="21"/>
  </r>
  <r>
    <x v="3"/>
    <x v="3"/>
    <x v="11"/>
    <x v="38"/>
    <n v="218882"/>
    <n v="1054826"/>
    <n v="9.4629999999999992"/>
    <n v="-83.501317"/>
    <n v="3265"/>
    <s v="Low"/>
    <d v="2013-12-31T00:00:00"/>
    <d v="2014-04-19T00:00:00"/>
    <n v="110"/>
  </r>
  <r>
    <x v="3"/>
    <x v="3"/>
    <x v="14"/>
    <x v="30"/>
    <n v="225594"/>
    <n v="1039301"/>
    <n v="9.3932020000000005"/>
    <n v="-83.498549999999994"/>
    <n v="2494"/>
    <s v="Low"/>
    <m/>
    <m/>
    <n v="0"/>
  </r>
  <r>
    <x v="3"/>
    <x v="3"/>
    <x v="13"/>
    <x v="31"/>
    <n v="224968"/>
    <n v="1040580"/>
    <n v="9.4047169999999998"/>
    <n v="-83.504333000000003"/>
    <n v="3029"/>
    <s v="Low"/>
    <d v="2013-08-10T00:00:00"/>
    <d v="2014-02-08T00:00:00"/>
    <n v="183"/>
  </r>
  <r>
    <x v="12"/>
    <x v="3"/>
    <x v="11"/>
    <x v="22"/>
    <n v="216187"/>
    <n v="1055367"/>
    <n v="9.5377519999999993"/>
    <n v="-83.585234"/>
    <n v="2938"/>
    <s v="Low"/>
    <m/>
    <m/>
    <n v="0"/>
  </r>
  <r>
    <x v="12"/>
    <x v="3"/>
    <x v="11"/>
    <x v="37"/>
    <n v="215945"/>
    <n v="1054550"/>
    <n v="9.4565000000000001"/>
    <n v="2.3887999999999998"/>
    <n v="2694"/>
    <s v="Low"/>
    <m/>
    <m/>
    <n v="0"/>
  </r>
  <r>
    <x v="12"/>
    <x v="3"/>
    <x v="12"/>
    <x v="24"/>
    <n v="221549"/>
    <n v="1045193"/>
    <n v="9.4461829999999996"/>
    <n v="-83.535749999999993"/>
    <n v="2858"/>
    <s v="High"/>
    <m/>
    <m/>
    <n v="0"/>
  </r>
  <r>
    <x v="12"/>
    <x v="3"/>
    <x v="12"/>
    <x v="25"/>
    <n v="222460"/>
    <n v="1044781"/>
    <n v="9.4425170000000005"/>
    <n v="-83.527433000000002"/>
    <n v="3107"/>
    <s v="High"/>
    <m/>
    <m/>
    <n v="0"/>
  </r>
  <r>
    <x v="12"/>
    <x v="3"/>
    <x v="11"/>
    <x v="26"/>
    <n v="218882"/>
    <n v="1054826"/>
    <n v="9.5330499999999994"/>
    <n v="-83.560666999999995"/>
    <n v="3265"/>
    <s v="Low"/>
    <m/>
    <m/>
    <n v="0"/>
  </r>
  <r>
    <x v="12"/>
    <x v="3"/>
    <x v="13"/>
    <x v="27"/>
    <n v="224433"/>
    <n v="1043313"/>
    <n v="9.4293829999999996"/>
    <n v="-83.509383"/>
    <n v="3113"/>
    <s v="Low"/>
    <d v="2015-10-10T00:00:00"/>
    <d v="2016-03-21T00:00:00"/>
    <n v="164"/>
  </r>
  <r>
    <x v="12"/>
    <x v="3"/>
    <x v="13"/>
    <x v="28"/>
    <n v="224828"/>
    <n v="1045786"/>
    <n v="9.4517500000000005"/>
    <n v="-83.505949999999999"/>
    <n v="3365"/>
    <s v="Low"/>
    <d v="2015-12-09T00:00:00"/>
    <d v="2016-01-09T00:00:00"/>
    <n v="32"/>
  </r>
  <r>
    <x v="12"/>
    <x v="3"/>
    <x v="14"/>
    <x v="29"/>
    <n v="225708"/>
    <n v="1038833"/>
    <n v="9.3875829999999993"/>
    <n v="-83.492982999999995"/>
    <n v="2243"/>
    <m/>
    <m/>
    <m/>
    <n v="0"/>
  </r>
  <r>
    <x v="12"/>
    <x v="3"/>
    <x v="14"/>
    <x v="30"/>
    <n v="225594"/>
    <n v="1039301"/>
    <n v="9.3932000000000002"/>
    <n v="-83.498549999999994"/>
    <n v="2494"/>
    <s v="Unknown"/>
    <m/>
    <m/>
    <n v="0"/>
  </r>
  <r>
    <x v="12"/>
    <x v="3"/>
    <x v="13"/>
    <x v="31"/>
    <n v="224968"/>
    <n v="1040580"/>
    <n v="9.4047169999999998"/>
    <n v="-83.504333000000003"/>
    <n v="3029"/>
    <s v="Low"/>
    <m/>
    <m/>
    <n v="0"/>
  </r>
  <r>
    <x v="12"/>
    <x v="3"/>
    <x v="15"/>
    <x v="32"/>
    <n v="554363"/>
    <n v="1045708"/>
    <n v="9.4596400000000003"/>
    <n v="-80.504769999999994"/>
    <m/>
    <s v="Low"/>
    <m/>
    <m/>
    <n v="0"/>
  </r>
  <r>
    <x v="12"/>
    <x v="3"/>
    <x v="15"/>
    <x v="33"/>
    <n v="554363"/>
    <n v="1045708"/>
    <n v="9.4596400000000003"/>
    <n v="-80.504769999999994"/>
    <m/>
    <s v="Low"/>
    <m/>
    <m/>
    <n v="0"/>
  </r>
  <r>
    <x v="12"/>
    <x v="3"/>
    <x v="15"/>
    <x v="34"/>
    <n v="554363"/>
    <n v="1045708"/>
    <n v="9.4596400000000003"/>
    <n v="-80.504769999999994"/>
    <m/>
    <s v="Low"/>
    <d v="2016-01-01T00:00:00"/>
    <d v="2016-01-02T00:00:00"/>
    <n v="2"/>
  </r>
  <r>
    <x v="13"/>
    <x v="3"/>
    <x v="12"/>
    <x v="24"/>
    <n v="221549"/>
    <n v="1045193"/>
    <n v="9.4461829999999996"/>
    <n v="-83.535749999999993"/>
    <n v="2858"/>
    <s v="High"/>
    <m/>
    <m/>
    <n v="0"/>
  </r>
  <r>
    <x v="13"/>
    <x v="3"/>
    <x v="12"/>
    <x v="25"/>
    <n v="222460"/>
    <n v="1044781"/>
    <n v="9.4425170000000005"/>
    <n v="-83.527433000000002"/>
    <n v="3107"/>
    <s v="High"/>
    <d v="2017-01-09T00:00:00"/>
    <d v="2017-01-18T00:00:00"/>
    <n v="10"/>
  </r>
  <r>
    <x v="13"/>
    <x v="3"/>
    <x v="11"/>
    <x v="26"/>
    <n v="218882"/>
    <n v="1054826"/>
    <n v="9.5330499999999994"/>
    <n v="-83.560666999999995"/>
    <n v="3265"/>
    <s v="Low"/>
    <d v="2017-02-13T00:00:00"/>
    <d v="2017-05-18T00:00:00"/>
    <n v="95"/>
  </r>
  <r>
    <x v="13"/>
    <x v="3"/>
    <x v="13"/>
    <x v="27"/>
    <n v="224433"/>
    <n v="1043313"/>
    <n v="9.4293829999999996"/>
    <n v="-83.509383"/>
    <n v="3113"/>
    <s v="Low"/>
    <m/>
    <m/>
    <n v="0"/>
  </r>
  <r>
    <x v="13"/>
    <x v="3"/>
    <x v="13"/>
    <x v="28"/>
    <n v="224828"/>
    <n v="1045786"/>
    <n v="9.4517500000000005"/>
    <n v="-83.505949999999999"/>
    <n v="3365"/>
    <s v="Low"/>
    <d v="2017-01-27T00:00:00"/>
    <d v="2017-02-15T00:00:00"/>
    <n v="20"/>
  </r>
  <r>
    <x v="13"/>
    <x v="3"/>
    <x v="14"/>
    <x v="29"/>
    <n v="225708"/>
    <n v="1038833"/>
    <n v="9.3875829999999993"/>
    <n v="-83.492982999999995"/>
    <n v="2243"/>
    <m/>
    <m/>
    <m/>
    <n v="0"/>
  </r>
  <r>
    <x v="13"/>
    <x v="3"/>
    <x v="14"/>
    <x v="30"/>
    <n v="225594"/>
    <n v="1039301"/>
    <n v="9.3932000000000002"/>
    <n v="-83.498549999999994"/>
    <n v="2494"/>
    <s v="Unknown"/>
    <m/>
    <m/>
    <n v="0"/>
  </r>
  <r>
    <x v="13"/>
    <x v="3"/>
    <x v="13"/>
    <x v="31"/>
    <n v="224968"/>
    <n v="1040580"/>
    <n v="9.4047169999999998"/>
    <n v="-83.504333000000003"/>
    <n v="3029"/>
    <s v="Low"/>
    <d v="2017-01-01T00:00:00"/>
    <d v="2017-04-21T00:00:00"/>
    <n v="111"/>
  </r>
  <r>
    <x v="13"/>
    <x v="3"/>
    <x v="15"/>
    <x v="32"/>
    <n v="554363"/>
    <n v="1045708"/>
    <n v="9.4596400000000003"/>
    <n v="-80.504769999999994"/>
    <m/>
    <s v="Low"/>
    <m/>
    <m/>
    <n v="0"/>
  </r>
  <r>
    <x v="13"/>
    <x v="3"/>
    <x v="15"/>
    <x v="33"/>
    <n v="554363"/>
    <n v="1045708"/>
    <n v="9.4596400000000003"/>
    <n v="-80.504769999999994"/>
    <m/>
    <s v="Low"/>
    <m/>
    <m/>
    <n v="0"/>
  </r>
  <r>
    <x v="13"/>
    <x v="3"/>
    <x v="15"/>
    <x v="34"/>
    <n v="554363"/>
    <n v="1045708"/>
    <n v="9.4596400000000003"/>
    <n v="-80.504769999999994"/>
    <m/>
    <s v="Low"/>
    <d v="2017-01-01T00:00:00"/>
    <d v="2017-01-02T00:00:00"/>
    <n v="2"/>
  </r>
  <r>
    <x v="14"/>
    <x v="3"/>
    <x v="11"/>
    <x v="22"/>
    <n v="216187"/>
    <n v="1055367"/>
    <n v="9.5377519999999993"/>
    <n v="-83.585234"/>
    <n v="2938"/>
    <s v="High"/>
    <m/>
    <m/>
    <n v="0"/>
  </r>
  <r>
    <x v="14"/>
    <x v="3"/>
    <x v="11"/>
    <x v="37"/>
    <n v="215945"/>
    <n v="1054550"/>
    <n v="9.4565000000000001"/>
    <n v="2.3887999999999998"/>
    <n v="2694"/>
    <s v="High"/>
    <m/>
    <m/>
    <n v="0"/>
  </r>
  <r>
    <x v="14"/>
    <x v="3"/>
    <x v="12"/>
    <x v="24"/>
    <n v="221549"/>
    <n v="1045193"/>
    <n v="9.4461829999999996"/>
    <n v="-83.535749999999993"/>
    <n v="2858"/>
    <s v="Low"/>
    <m/>
    <m/>
    <n v="0"/>
  </r>
  <r>
    <x v="14"/>
    <x v="3"/>
    <x v="12"/>
    <x v="25"/>
    <n v="222460"/>
    <n v="1044781"/>
    <n v="9.4425170000000005"/>
    <n v="-83.527433000000002"/>
    <n v="3107"/>
    <s v="Low"/>
    <m/>
    <m/>
    <n v="0"/>
  </r>
  <r>
    <x v="14"/>
    <x v="3"/>
    <x v="11"/>
    <x v="26"/>
    <n v="218882"/>
    <n v="1054826"/>
    <n v="9.5330499999999994"/>
    <n v="-83.560666999999995"/>
    <n v="3265"/>
    <s v="Low"/>
    <m/>
    <m/>
    <n v="0"/>
  </r>
  <r>
    <x v="14"/>
    <x v="3"/>
    <x v="13"/>
    <x v="27"/>
    <n v="224433"/>
    <n v="1043313"/>
    <n v="9.4293829999999996"/>
    <n v="-83.509383"/>
    <n v="3113"/>
    <s v="Unknown"/>
    <m/>
    <m/>
    <n v="0"/>
  </r>
  <r>
    <x v="14"/>
    <x v="3"/>
    <x v="13"/>
    <x v="28"/>
    <n v="224828"/>
    <n v="1045786"/>
    <n v="9.4517500000000005"/>
    <n v="-83.505949999999999"/>
    <n v="3365"/>
    <s v="Low"/>
    <m/>
    <m/>
    <n v="0"/>
  </r>
  <r>
    <x v="14"/>
    <x v="3"/>
    <x v="14"/>
    <x v="29"/>
    <n v="225708"/>
    <n v="1038833"/>
    <n v="9.3875829999999993"/>
    <n v="-83.492982999999995"/>
    <n v="2243"/>
    <s v="Low"/>
    <m/>
    <m/>
    <n v="0"/>
  </r>
  <r>
    <x v="14"/>
    <x v="3"/>
    <x v="14"/>
    <x v="30"/>
    <n v="225594"/>
    <n v="1039301"/>
    <n v="9.3932000000000002"/>
    <n v="-83.498549999999994"/>
    <n v="2494"/>
    <s v="Low"/>
    <m/>
    <m/>
    <n v="0"/>
  </r>
  <r>
    <x v="14"/>
    <x v="3"/>
    <x v="13"/>
    <x v="31"/>
    <n v="224968"/>
    <n v="1040580"/>
    <n v="9.4047169999999998"/>
    <n v="-83.504333000000003"/>
    <n v="3029"/>
    <s v="Low"/>
    <m/>
    <m/>
    <n v="0"/>
  </r>
  <r>
    <x v="14"/>
    <x v="3"/>
    <x v="15"/>
    <x v="32"/>
    <n v="554363"/>
    <n v="1045708"/>
    <n v="9.4596400000000003"/>
    <n v="-80.504769999999994"/>
    <m/>
    <s v="Low"/>
    <m/>
    <m/>
    <n v="0"/>
  </r>
  <r>
    <x v="14"/>
    <x v="3"/>
    <x v="15"/>
    <x v="33"/>
    <n v="554363"/>
    <n v="1045708"/>
    <n v="9.4596400000000003"/>
    <n v="-80.504769999999994"/>
    <m/>
    <s v="Low"/>
    <m/>
    <m/>
    <n v="0"/>
  </r>
  <r>
    <x v="14"/>
    <x v="3"/>
    <x v="15"/>
    <x v="34"/>
    <n v="554363"/>
    <n v="1045708"/>
    <n v="9.4596400000000003"/>
    <n v="-80.504769999999994"/>
    <m/>
    <s v="Low"/>
    <m/>
    <m/>
    <n v="0"/>
  </r>
  <r>
    <x v="14"/>
    <x v="3"/>
    <x v="17"/>
    <x v="39"/>
    <n v="263421"/>
    <n v="1001250"/>
    <n v="9.0515524999999997"/>
    <n v="-83.152214439999995"/>
    <n v="2938"/>
    <m/>
    <d v="2018-03-24T00:00:00"/>
    <d v="2018-03-24T00:00:00"/>
    <n v="0"/>
  </r>
  <r>
    <x v="14"/>
    <x v="3"/>
    <x v="17"/>
    <x v="40"/>
    <n v="263421"/>
    <n v="1001250"/>
    <n v="9.0515524999999997"/>
    <n v="-83.152214439999995"/>
    <n v="2938"/>
    <m/>
    <d v="2018-04-16T00:00:00"/>
    <d v="2018-05-20T00:00:00"/>
    <n v="35"/>
  </r>
  <r>
    <x v="14"/>
    <x v="3"/>
    <x v="17"/>
    <x v="41"/>
    <n v="270836"/>
    <n v="997632"/>
    <n v="9.0192388890000004"/>
    <n v="-83.08460556"/>
    <n v="2694"/>
    <m/>
    <d v="2018-03-24T00:00:00"/>
    <d v="2018-07-03T00:00:00"/>
    <n v="102"/>
  </r>
  <r>
    <x v="14"/>
    <x v="3"/>
    <x v="17"/>
    <x v="42"/>
    <n v="274385"/>
    <n v="997604"/>
    <n v="9.0191611110000007"/>
    <n v="-83.052333329999996"/>
    <n v="3265"/>
    <m/>
    <d v="2018-03-24T00:00:00"/>
    <d v="2018-04-26T00:00:00"/>
    <n v="0"/>
  </r>
  <r>
    <x v="14"/>
    <x v="3"/>
    <x v="17"/>
    <x v="43"/>
    <n v="274385"/>
    <n v="997604"/>
    <n v="9.0191611110000007"/>
    <n v="-83.052333329999996"/>
    <n v="3265"/>
    <m/>
    <d v="2018-03-24T00:00:00"/>
    <d v="2018-07-03T00:00:00"/>
    <n v="102"/>
  </r>
  <r>
    <x v="5"/>
    <x v="3"/>
    <x v="12"/>
    <x v="36"/>
    <n v="218685"/>
    <n v="1046732"/>
    <n v="9.4598999999999993"/>
    <n v="-83.561920000000001"/>
    <n v="2308"/>
    <s v="High"/>
    <d v="2012-06-26T00:00:00"/>
    <d v="2012-08-09T00:00:00"/>
    <n v="32"/>
  </r>
  <r>
    <x v="5"/>
    <x v="3"/>
    <x v="12"/>
    <x v="37"/>
    <n v="220217"/>
    <n v="1046347"/>
    <n v="9.4565199999999994"/>
    <n v="-83.54795"/>
    <n v="2490"/>
    <s v="High"/>
    <d v="2012-06-26T00:00:00"/>
    <d v="2012-08-09T00:00:00"/>
    <n v="36"/>
  </r>
  <r>
    <x v="5"/>
    <x v="3"/>
    <x v="12"/>
    <x v="24"/>
    <n v="221549"/>
    <n v="1045193"/>
    <n v="9.44618"/>
    <n v="-83.535749999999993"/>
    <n v="2858"/>
    <s v="High"/>
    <d v="2012-06-26T00:00:00"/>
    <d v="2012-08-09T00:00:00"/>
    <n v="35"/>
  </r>
  <r>
    <x v="5"/>
    <x v="3"/>
    <x v="12"/>
    <x v="25"/>
    <n v="224460"/>
    <n v="1044781"/>
    <n v="9.44252"/>
    <n v="-83.527429999999995"/>
    <n v="3107"/>
    <s v="High"/>
    <d v="2012-06-26T00:00:00"/>
    <d v="2012-08-08T00:00:00"/>
    <n v="44"/>
  </r>
  <r>
    <x v="5"/>
    <x v="3"/>
    <x v="16"/>
    <x v="38"/>
    <n v="225346"/>
    <n v="1047027"/>
    <n v="9.4629999999999992"/>
    <n v="-83.501320000000007"/>
    <n v="3464"/>
    <s v="Low"/>
    <d v="2012-06-27T00:00:00"/>
    <d v="2012-08-09T00:00:00"/>
    <n v="44"/>
  </r>
  <r>
    <x v="5"/>
    <x v="3"/>
    <x v="13"/>
    <x v="27"/>
    <n v="224433"/>
    <n v="1043313"/>
    <n v="9.4293800000000001"/>
    <n v="-83.509379999999993"/>
    <n v="3113"/>
    <s v="Low"/>
    <d v="2012-06-27T00:00:00"/>
    <d v="2012-08-09T00:00:00"/>
    <n v="44"/>
  </r>
  <r>
    <x v="5"/>
    <x v="3"/>
    <x v="13"/>
    <x v="28"/>
    <n v="224828"/>
    <n v="1045786"/>
    <n v="9.4517500000000005"/>
    <n v="-83.505949999999999"/>
    <n v="3365"/>
    <s v="Low"/>
    <d v="2012-06-27T00:00:00"/>
    <d v="2012-08-09T00:00:00"/>
    <n v="44"/>
  </r>
  <r>
    <x v="19"/>
    <x v="3"/>
    <x v="12"/>
    <x v="24"/>
    <n v="221549"/>
    <n v="1045193"/>
    <n v="9.4461829999999996"/>
    <n v="-83.535749999999993"/>
    <n v="2858"/>
    <s v="High"/>
    <d v="2014-06-08T00:00:00"/>
    <d v="2014-06-09T00:00:00"/>
    <n v="2"/>
  </r>
  <r>
    <x v="19"/>
    <x v="3"/>
    <x v="13"/>
    <x v="27"/>
    <n v="224433"/>
    <n v="1043313"/>
    <n v="9.4293829999999996"/>
    <n v="-83.509383"/>
    <n v="3113"/>
    <s v="Low"/>
    <d v="2014-06-06T00:00:00"/>
    <d v="2014-07-29T00:00:00"/>
    <n v="54"/>
  </r>
  <r>
    <x v="19"/>
    <x v="3"/>
    <x v="14"/>
    <x v="29"/>
    <n v="225708"/>
    <n v="1038833"/>
    <n v="9.3889809999999994"/>
    <n v="-83.497487000000007"/>
    <n v="2243"/>
    <s v="Low"/>
    <d v="2014-03-19T00:00:00"/>
    <d v="2014-08-15T00:00:00"/>
    <n v="150"/>
  </r>
  <r>
    <x v="19"/>
    <x v="3"/>
    <x v="14"/>
    <x v="30"/>
    <n v="225594"/>
    <n v="1039301"/>
    <n v="9.3932020000000005"/>
    <n v="-83.498553999999999"/>
    <n v="2494"/>
    <s v="Low"/>
    <d v="2014-04-09T00:00:00"/>
    <d v="2014-08-30T00:00:00"/>
    <n v="144"/>
  </r>
  <r>
    <x v="19"/>
    <x v="3"/>
    <x v="13"/>
    <x v="31"/>
    <n v="224968"/>
    <n v="1040580"/>
    <n v="9.4047169999999998"/>
    <n v="-83.504329999999996"/>
    <n v="3029"/>
    <s v="Low"/>
    <d v="2014-10-15T00:00:00"/>
    <d v="2014-12-14T00:00:00"/>
    <n v="61"/>
  </r>
  <r>
    <x v="16"/>
    <x v="3"/>
    <x v="14"/>
    <x v="30"/>
    <n v="225594"/>
    <n v="1039301"/>
    <n v="9.3932000000000002"/>
    <n v="-83.498549999999994"/>
    <n v="2494"/>
    <s v="Low"/>
    <d v="2016-01-01T00:00:00"/>
    <d v="2016-07-11T00:00:00"/>
    <n v="181"/>
  </r>
  <r>
    <x v="16"/>
    <x v="3"/>
    <x v="11"/>
    <x v="22"/>
    <n v="216187"/>
    <n v="1055367"/>
    <n v="9.5377519999999993"/>
    <n v="-83.585234"/>
    <n v="2938"/>
    <s v="Low"/>
    <d v="2016-03-01T00:00:00"/>
    <d v="2016-04-19T00:00:00"/>
    <n v="50"/>
  </r>
  <r>
    <x v="16"/>
    <x v="3"/>
    <x v="11"/>
    <x v="23"/>
    <n v="215945"/>
    <n v="1054548"/>
    <n v="9.5303400000000007"/>
    <n v="-83.587379999999996"/>
    <n v="2694"/>
    <s v="Low"/>
    <m/>
    <m/>
    <n v="0"/>
  </r>
  <r>
    <x v="16"/>
    <x v="3"/>
    <x v="12"/>
    <x v="24"/>
    <n v="221549"/>
    <n v="1045193"/>
    <n v="9.4461829999999996"/>
    <n v="-83.535749999999993"/>
    <n v="2858"/>
    <s v="High"/>
    <d v="2016-12-10T00:00:00"/>
    <d v="2016-12-16T00:00:00"/>
    <n v="7"/>
  </r>
  <r>
    <x v="16"/>
    <x v="3"/>
    <x v="12"/>
    <x v="25"/>
    <n v="222460"/>
    <n v="1044781"/>
    <n v="9.4425170000000005"/>
    <n v="-83.527433000000002"/>
    <n v="3107"/>
    <s v="High"/>
    <d v="2016-12-10T00:00:00"/>
    <d v="2016-12-13T00:00:00"/>
    <n v="4"/>
  </r>
  <r>
    <x v="16"/>
    <x v="3"/>
    <x v="11"/>
    <x v="26"/>
    <n v="218882"/>
    <n v="1054826"/>
    <n v="9.5330499999999994"/>
    <n v="-83.560666999999995"/>
    <n v="3265"/>
    <s v="Low"/>
    <d v="2016-01-01T00:00:00"/>
    <d v="2016-01-14T00:00:00"/>
    <n v="14"/>
  </r>
  <r>
    <x v="16"/>
    <x v="3"/>
    <x v="13"/>
    <x v="27"/>
    <n v="224433"/>
    <n v="1043313"/>
    <n v="9.4293829999999996"/>
    <n v="-83.509383"/>
    <n v="3113"/>
    <s v="Low"/>
    <d v="2016-03-22T00:00:00"/>
    <d v="2016-06-21T00:00:00"/>
    <n v="92"/>
  </r>
  <r>
    <x v="16"/>
    <x v="3"/>
    <x v="13"/>
    <x v="28"/>
    <n v="224828"/>
    <n v="1045786"/>
    <n v="9.4517500000000005"/>
    <n v="-83.505949999999999"/>
    <n v="3365"/>
    <s v="Low"/>
    <d v="2016-01-10T00:00:00"/>
    <d v="2016-04-03T00:00:00"/>
    <n v="85"/>
  </r>
  <r>
    <x v="16"/>
    <x v="3"/>
    <x v="14"/>
    <x v="29"/>
    <n v="225708"/>
    <n v="1038833"/>
    <n v="9.3875829999999993"/>
    <n v="-83.492982999999995"/>
    <n v="2243"/>
    <s v="Low"/>
    <d v="2016-07-24T00:00:00"/>
    <d v="2016-08-30T00:00:00"/>
    <n v="38"/>
  </r>
  <r>
    <x v="16"/>
    <x v="3"/>
    <x v="13"/>
    <x v="31"/>
    <n v="224968"/>
    <n v="1040580"/>
    <n v="9.4047169999999998"/>
    <n v="-83.504333000000003"/>
    <n v="3029"/>
    <s v="Low"/>
    <d v="2015-10-09T00:00:00"/>
    <d v="2015-10-09T00:00:00"/>
    <n v="1"/>
  </r>
  <r>
    <x v="16"/>
    <x v="3"/>
    <x v="4"/>
    <x v="35"/>
    <m/>
    <m/>
    <m/>
    <m/>
    <m/>
    <m/>
    <d v="2016-06-25T00:00:00"/>
    <d v="2016-06-27T00:00:00"/>
    <n v="0"/>
  </r>
  <r>
    <x v="16"/>
    <x v="3"/>
    <x v="15"/>
    <x v="32"/>
    <n v="224927"/>
    <n v="1046340"/>
    <n v="9.4567730000000001"/>
    <n v="-83.505081000000004"/>
    <n v="3400"/>
    <s v="Low"/>
    <d v="2015-10-06T00:00:00"/>
    <d v="2015-10-18T00:00:00"/>
    <n v="13"/>
  </r>
  <r>
    <x v="16"/>
    <x v="3"/>
    <x v="15"/>
    <x v="33"/>
    <n v="224927"/>
    <n v="1046340"/>
    <n v="9.4567730000000001"/>
    <n v="-83.505081000000004"/>
    <n v="3400"/>
    <s v="Low"/>
    <d v="2015-12-09T00:00:00"/>
    <d v="2016-01-01T00:00:00"/>
    <n v="24"/>
  </r>
  <r>
    <x v="16"/>
    <x v="3"/>
    <x v="15"/>
    <x v="34"/>
    <n v="224927"/>
    <n v="1046340"/>
    <n v="9.4567730000000001"/>
    <n v="-83.505081000000004"/>
    <n v="3400"/>
    <s v="Low"/>
    <d v="2016-01-01T00:00:00"/>
    <d v="2016-01-20T00:00:00"/>
    <n v="20"/>
  </r>
  <r>
    <x v="20"/>
    <x v="3"/>
    <x v="12"/>
    <x v="24"/>
    <n v="221549"/>
    <n v="1045193"/>
    <n v="9.4461829999999996"/>
    <n v="-83.535749999999993"/>
    <n v="2858"/>
    <s v="High"/>
    <m/>
    <m/>
    <n v="0"/>
  </r>
  <r>
    <x v="20"/>
    <x v="3"/>
    <x v="12"/>
    <x v="25"/>
    <n v="222460"/>
    <n v="1044781"/>
    <n v="9.4425170000000005"/>
    <n v="-83.527433000000002"/>
    <n v="3107"/>
    <s v="High"/>
    <d v="2017-05-16T00:00:00"/>
    <d v="2017-06-02T00:00:00"/>
    <n v="18"/>
  </r>
  <r>
    <x v="20"/>
    <x v="3"/>
    <x v="11"/>
    <x v="26"/>
    <n v="218882"/>
    <n v="1054826"/>
    <n v="9.5330499999999994"/>
    <n v="-83.560666999999995"/>
    <n v="3265"/>
    <s v="Low"/>
    <m/>
    <m/>
    <n v="0"/>
  </r>
  <r>
    <x v="20"/>
    <x v="3"/>
    <x v="13"/>
    <x v="27"/>
    <n v="224433"/>
    <n v="1043313"/>
    <n v="9.4293829999999996"/>
    <n v="-83.509383"/>
    <n v="3113"/>
    <s v="Low"/>
    <m/>
    <m/>
    <n v="0"/>
  </r>
  <r>
    <x v="20"/>
    <x v="3"/>
    <x v="13"/>
    <x v="28"/>
    <n v="224828"/>
    <n v="1045786"/>
    <n v="9.4517500000000005"/>
    <n v="-83.505949999999999"/>
    <n v="3365"/>
    <s v="Low"/>
    <m/>
    <m/>
    <n v="0"/>
  </r>
  <r>
    <x v="20"/>
    <x v="3"/>
    <x v="14"/>
    <x v="29"/>
    <n v="225708"/>
    <n v="1038833"/>
    <n v="9.3875829999999993"/>
    <n v="-83.492982999999995"/>
    <n v="2243"/>
    <m/>
    <m/>
    <m/>
    <n v="0"/>
  </r>
  <r>
    <x v="20"/>
    <x v="3"/>
    <x v="14"/>
    <x v="30"/>
    <n v="225594"/>
    <n v="1039301"/>
    <n v="9.3932000000000002"/>
    <n v="-83.498549999999994"/>
    <n v="2494"/>
    <s v="Unknown"/>
    <m/>
    <m/>
    <n v="0"/>
  </r>
  <r>
    <x v="20"/>
    <x v="3"/>
    <x v="13"/>
    <x v="31"/>
    <n v="224968"/>
    <n v="1040580"/>
    <n v="9.4047169999999998"/>
    <n v="-83.504333000000003"/>
    <n v="3029"/>
    <s v="Low"/>
    <m/>
    <m/>
    <n v="0"/>
  </r>
  <r>
    <x v="20"/>
    <x v="3"/>
    <x v="15"/>
    <x v="32"/>
    <n v="554363"/>
    <n v="1045708"/>
    <n v="9.4596400000000003"/>
    <n v="-80.504769999999994"/>
    <m/>
    <s v="Low"/>
    <m/>
    <m/>
    <n v="0"/>
  </r>
  <r>
    <x v="20"/>
    <x v="3"/>
    <x v="15"/>
    <x v="33"/>
    <n v="554363"/>
    <n v="1045708"/>
    <n v="9.4596400000000003"/>
    <n v="-80.504769999999994"/>
    <m/>
    <s v="Low"/>
    <m/>
    <m/>
    <n v="0"/>
  </r>
  <r>
    <x v="20"/>
    <x v="3"/>
    <x v="15"/>
    <x v="34"/>
    <n v="554363"/>
    <n v="1045708"/>
    <n v="9.4596400000000003"/>
    <n v="-80.504769999999994"/>
    <m/>
    <s v="Low"/>
    <m/>
    <m/>
    <n v="0"/>
  </r>
  <r>
    <x v="16"/>
    <x v="3"/>
    <x v="13"/>
    <x v="27"/>
    <n v="224433"/>
    <n v="1043313"/>
    <n v="9.4293829999999996"/>
    <n v="-83.509383"/>
    <n v="3113"/>
    <s v="Low"/>
    <d v="2016-07-11T00:00:00"/>
    <d v="2016-10-31T00:00:00"/>
    <n v="113"/>
  </r>
  <r>
    <x v="1"/>
    <x v="3"/>
    <x v="11"/>
    <x v="38"/>
    <n v="218882"/>
    <n v="1054826"/>
    <n v="9.4629999999999992"/>
    <n v="-83.501320000000007"/>
    <n v="3265"/>
    <s v="Low"/>
    <d v="2014-07-29T00:00:00"/>
    <d v="2014-12-26T00:00:00"/>
    <n v="151"/>
  </r>
  <r>
    <x v="4"/>
    <x v="3"/>
    <x v="11"/>
    <x v="38"/>
    <n v="218882"/>
    <n v="1054826"/>
    <n v="9.4629999999999992"/>
    <n v="-83.501317"/>
    <n v="3265"/>
    <s v="Low"/>
    <d v="2015-02-14T00:00:00"/>
    <d v="2015-04-29T00:00:00"/>
    <n v="75"/>
  </r>
  <r>
    <x v="0"/>
    <x v="4"/>
    <x v="18"/>
    <x v="44"/>
    <n v="197713"/>
    <n v="1082614"/>
    <n v="9.7826170000000001"/>
    <n v="-83.755382999999995"/>
    <n v="1158"/>
    <s v="Low"/>
    <d v="2011-01-02T00:00:00"/>
    <d v="2011-02-15T00:00:00"/>
    <n v="0"/>
  </r>
  <r>
    <x v="0"/>
    <x v="4"/>
    <x v="18"/>
    <x v="45"/>
    <n v="197795"/>
    <n v="1082371"/>
    <n v="9.7804330000000004"/>
    <n v="-83.754616999999996"/>
    <n v="1225"/>
    <s v="Low"/>
    <d v="2013-08-08T00:00:00"/>
    <d v="2013-09-24T00:00:00"/>
    <n v="48"/>
  </r>
  <r>
    <x v="1"/>
    <x v="4"/>
    <x v="18"/>
    <x v="44"/>
    <n v="197713"/>
    <n v="1082614"/>
    <n v="9.7826170000000001"/>
    <n v="-83.755382999999995"/>
    <n v="1158"/>
    <s v="Low"/>
    <d v="2014-10-19T00:00:00"/>
    <d v="2015-01-07T00:00:00"/>
    <n v="81"/>
  </r>
  <r>
    <x v="1"/>
    <x v="4"/>
    <x v="18"/>
    <x v="45"/>
    <n v="197795"/>
    <n v="1082371"/>
    <n v="9.7804330000000004"/>
    <n v="-83.754616999999996"/>
    <n v="1225"/>
    <s v="Low"/>
    <d v="2014-10-25T00:00:00"/>
    <d v="2015-01-02T00:00:00"/>
    <n v="70"/>
  </r>
  <r>
    <x v="21"/>
    <x v="4"/>
    <x v="18"/>
    <x v="45"/>
    <n v="197795"/>
    <n v="1082371"/>
    <n v="9.7804330000000004"/>
    <n v="-83.754616999999996"/>
    <n v="1225"/>
    <s v="Low"/>
    <d v="2016-03-13T00:00:00"/>
    <d v="2016-09-17T00:00:00"/>
    <n v="189"/>
  </r>
  <r>
    <x v="3"/>
    <x v="4"/>
    <x v="18"/>
    <x v="44"/>
    <n v="197713"/>
    <n v="1082614"/>
    <n v="9.7826170000000001"/>
    <n v="-83.755382999999995"/>
    <n v="1158"/>
    <s v="Low"/>
    <d v="2014-04-06T00:00:00"/>
    <d v="2014-06-13T00:00:00"/>
    <n v="69"/>
  </r>
  <r>
    <x v="0"/>
    <x v="4"/>
    <x v="18"/>
    <x v="45"/>
    <n v="197795"/>
    <n v="1082371"/>
    <n v="9.7804330000000004"/>
    <n v="-83.754616999999996"/>
    <n v="1225"/>
    <s v="Low"/>
    <d v="2013-09-24T00:00:00"/>
    <d v="2013-12-14T00:00:00"/>
    <n v="82"/>
  </r>
  <r>
    <x v="22"/>
    <x v="4"/>
    <x v="18"/>
    <x v="44"/>
    <n v="197713"/>
    <n v="1082614"/>
    <n v="9.7826170000000001"/>
    <n v="-83.755382999999995"/>
    <n v="1158"/>
    <s v="Low"/>
    <d v="2013-07-12T00:00:00"/>
    <d v="2013-08-05T00:00:00"/>
    <n v="25"/>
  </r>
  <r>
    <x v="0"/>
    <x v="4"/>
    <x v="18"/>
    <x v="45"/>
    <n v="197795"/>
    <n v="1082371"/>
    <n v="9.7804330000000004"/>
    <n v="-83.754616999999996"/>
    <n v="1225"/>
    <s v="Low"/>
    <d v="2013-07-12T00:00:00"/>
    <d v="2013-08-05T00:00:00"/>
    <n v="25"/>
  </r>
  <r>
    <x v="23"/>
    <x v="4"/>
    <x v="18"/>
    <x v="45"/>
    <n v="197795"/>
    <n v="1082371"/>
    <n v="9.7804301420000002"/>
    <n v="-83.754620860000003"/>
    <n v="1225"/>
    <s v="Low"/>
    <d v="2015-07-23T00:00:00"/>
    <d v="2015-11-17T00:00:00"/>
    <n v="118"/>
  </r>
  <r>
    <x v="24"/>
    <x v="5"/>
    <x v="19"/>
    <x v="46"/>
    <n v="272827.14"/>
    <n v="1011055.56"/>
    <n v="9.1406700000000001"/>
    <n v="-83.0672"/>
    <n v="2207"/>
    <s v="Low"/>
    <d v="2018-07-12T00:00:00"/>
    <d v="2018-12-19T00:00:00"/>
    <n v="73"/>
  </r>
  <r>
    <x v="24"/>
    <x v="5"/>
    <x v="19"/>
    <x v="47"/>
    <n v="273338.88"/>
    <n v="1016508.91"/>
    <n v="9.1899899999999999"/>
    <n v="-83.062830000000005"/>
    <n v="2852"/>
    <s v="Low"/>
    <d v="2018-07-12T00:00:00"/>
    <d v="2018-12-19T00:00:00"/>
    <n v="87"/>
  </r>
  <r>
    <x v="24"/>
    <x v="5"/>
    <x v="19"/>
    <x v="48"/>
    <n v="271915.68"/>
    <n v="1020930.22"/>
    <n v="9.2298799999999996"/>
    <n v="-83.076009999999997"/>
    <n v="2844"/>
    <s v="Low"/>
    <d v="2018-07-12T00:00:00"/>
    <d v="2018-12-19T00:00:00"/>
    <n v="158"/>
  </r>
  <r>
    <x v="24"/>
    <x v="5"/>
    <x v="19"/>
    <x v="49"/>
    <n v="273258.36"/>
    <n v="1023692.63"/>
    <n v="9.2549200000000003"/>
    <n v="-83.063940000000002"/>
    <n v="3072"/>
    <s v="Low"/>
    <d v="2018-07-12T00:00:00"/>
    <d v="2018-12-19T00:00:00"/>
    <n v="75"/>
  </r>
  <r>
    <x v="24"/>
    <x v="5"/>
    <x v="19"/>
    <x v="50"/>
    <n v="275845.73"/>
    <n v="1024680.03"/>
    <n v="9.2639800000000001"/>
    <n v="-83.040450000000007"/>
    <n v="3322"/>
    <s v="Low"/>
    <d v="2018-07-12T00:00:00"/>
    <d v="2018-12-19T00:00:00"/>
    <n v="129"/>
  </r>
  <r>
    <x v="24"/>
    <x v="5"/>
    <x v="19"/>
    <x v="51"/>
    <n v="273078.33"/>
    <n v="1013063.17"/>
    <n v="9.15883"/>
    <n v="-83.065020000000004"/>
    <n v="2454"/>
    <s v="Low"/>
    <d v="2018-07-12T00:00:00"/>
    <d v="2018-12-19T00:00:00"/>
    <n v="161"/>
  </r>
  <r>
    <x v="24"/>
    <x v="5"/>
    <x v="19"/>
    <x v="52"/>
    <n v="273721.56"/>
    <n v="1014423.55"/>
    <n v="9.1711600000000004"/>
    <n v="-83.059240000000003"/>
    <n v="2706"/>
    <s v="Low"/>
    <d v="2018-07-12T00:00:00"/>
    <d v="2018-12-19T00:00:00"/>
    <n v="161"/>
  </r>
  <r>
    <x v="24"/>
    <x v="5"/>
    <x v="19"/>
    <x v="53"/>
    <n v="273852.57"/>
    <n v="1017905.44"/>
    <n v="9.2026400000000006"/>
    <n v="-83.058229999999995"/>
    <n v="2969"/>
    <s v="Low"/>
    <d v="2018-07-12T00:00:00"/>
    <d v="2018-12-19T00:00:00"/>
    <n v="161"/>
  </r>
  <r>
    <x v="24"/>
    <x v="5"/>
    <x v="19"/>
    <x v="54"/>
    <n v="272258.24"/>
    <n v="1022756.97"/>
    <n v="9.2464099999999991"/>
    <n v="-83.072990000000004"/>
    <n v="2979"/>
    <s v="Low"/>
    <d v="2018-07-12T00:00:00"/>
    <d v="2018-12-19T00:00:00"/>
    <n v="161"/>
  </r>
  <r>
    <x v="24"/>
    <x v="5"/>
    <x v="19"/>
    <x v="55"/>
    <n v="274760.90000000002"/>
    <n v="1024094.39"/>
    <n v="9.2586300000000001"/>
    <n v="-83.050290000000004"/>
    <n v="3196"/>
    <s v="Low"/>
    <d v="2018-07-12T00:00:00"/>
    <d v="2018-12-19T00:00:00"/>
    <n v="161"/>
  </r>
  <r>
    <x v="25"/>
    <x v="5"/>
    <x v="19"/>
    <x v="46"/>
    <n v="272827.14"/>
    <n v="1011055.56"/>
    <n v="9.1406700000000001"/>
    <n v="-83.0672"/>
    <n v="2207"/>
    <s v="Low"/>
    <d v="2019-06-17T00:00:00"/>
    <d v="2020-01-13T00:00:00"/>
    <n v="211"/>
  </r>
  <r>
    <x v="25"/>
    <x v="5"/>
    <x v="19"/>
    <x v="51"/>
    <n v="273078.33"/>
    <n v="1013063.17"/>
    <n v="9.15883"/>
    <n v="-83.065020000000004"/>
    <n v="2454"/>
    <s v="Low"/>
    <d v="2019-06-18T00:00:00"/>
    <d v="2020-01-11T00:00:00"/>
    <n v="208"/>
  </r>
  <r>
    <x v="25"/>
    <x v="5"/>
    <x v="19"/>
    <x v="52"/>
    <n v="273721.56"/>
    <n v="1014423.55"/>
    <n v="9.1711600000000004"/>
    <n v="-83.059240000000003"/>
    <n v="2706"/>
    <s v="Low"/>
    <d v="2019-06-17T00:00:00"/>
    <d v="2020-01-11T00:00:00"/>
    <n v="209"/>
  </r>
  <r>
    <x v="25"/>
    <x v="5"/>
    <x v="19"/>
    <x v="47"/>
    <n v="273338.88"/>
    <n v="1016508.91"/>
    <n v="9.1899899999999999"/>
    <n v="-83.062830000000005"/>
    <n v="2852"/>
    <s v="Low"/>
    <d v="2019-06-18T00:00:00"/>
    <d v="2020-01-11T00:00:00"/>
    <n v="208"/>
  </r>
  <r>
    <x v="25"/>
    <x v="5"/>
    <x v="19"/>
    <x v="53"/>
    <n v="273852.57"/>
    <n v="1017905.44"/>
    <n v="9.2026400000000006"/>
    <n v="-83.058229999999995"/>
    <n v="2969"/>
    <s v="Low"/>
    <d v="2019-06-18T00:00:00"/>
    <d v="2020-01-11T00:00:00"/>
    <n v="208"/>
  </r>
  <r>
    <x v="25"/>
    <x v="5"/>
    <x v="19"/>
    <x v="48"/>
    <n v="271915.68"/>
    <n v="1020930.22"/>
    <n v="9.2298799999999996"/>
    <n v="-83.076009999999997"/>
    <n v="2844"/>
    <s v="Low"/>
    <d v="2019-06-17T00:00:00"/>
    <d v="2019-12-14T00:00:00"/>
    <n v="181"/>
  </r>
  <r>
    <x v="25"/>
    <x v="5"/>
    <x v="19"/>
    <x v="54"/>
    <n v="272258.24"/>
    <n v="1022756.97"/>
    <n v="9.2464099999999991"/>
    <n v="-83.072990000000004"/>
    <n v="2979"/>
    <s v="Low"/>
    <d v="2017-01-03T00:00:00"/>
    <d v="2017-03-19T00:00:00"/>
    <n v="76"/>
  </r>
  <r>
    <x v="25"/>
    <x v="5"/>
    <x v="19"/>
    <x v="49"/>
    <n v="273258.36"/>
    <n v="1023692.63"/>
    <n v="9.2549200000000003"/>
    <n v="-83.063940000000002"/>
    <n v="3072"/>
    <s v="Low"/>
    <d v="2019-06-21T00:00:00"/>
    <d v="2019-07-06T00:00:00"/>
    <n v="16"/>
  </r>
  <r>
    <x v="25"/>
    <x v="5"/>
    <x v="19"/>
    <x v="55"/>
    <n v="274760.90000000002"/>
    <n v="1024094.39"/>
    <n v="9.2586300000000001"/>
    <n v="-83.050290000000004"/>
    <n v="3196"/>
    <s v="Low"/>
    <d v="2019-06-21T00:00:00"/>
    <d v="2020-01-12T00:00:00"/>
    <n v="206"/>
  </r>
  <r>
    <x v="25"/>
    <x v="5"/>
    <x v="19"/>
    <x v="50"/>
    <n v="275845.73"/>
    <n v="1024680.03"/>
    <n v="9.2639800000000001"/>
    <n v="-83.040450000000007"/>
    <n v="3322"/>
    <s v="Low"/>
    <d v="2019-06-20T00:00:00"/>
    <d v="2019-07-17T00:00:00"/>
    <n v="28"/>
  </r>
  <r>
    <x v="26"/>
    <x v="5"/>
    <x v="19"/>
    <x v="46"/>
    <n v="272827.14"/>
    <n v="1011055.56"/>
    <n v="9.1406700000000001"/>
    <n v="-83.0672"/>
    <n v="2207"/>
    <s v="Low"/>
    <d v="2019-03-07T00:00:00"/>
    <d v="2019-04-21T00:00:00"/>
    <n v="46"/>
  </r>
  <r>
    <x v="26"/>
    <x v="5"/>
    <x v="19"/>
    <x v="51"/>
    <n v="273078.33"/>
    <n v="1013063.17"/>
    <n v="9.15883"/>
    <n v="-83.065020000000004"/>
    <n v="2454"/>
    <s v="Low"/>
    <d v="2019-03-07T00:00:00"/>
    <d v="2019-04-21T00:00:00"/>
    <n v="46"/>
  </r>
  <r>
    <x v="26"/>
    <x v="5"/>
    <x v="19"/>
    <x v="52"/>
    <n v="273721.56"/>
    <n v="1014423.55"/>
    <n v="9.1711600000000004"/>
    <n v="-83.059240000000003"/>
    <n v="2706"/>
    <s v="Low"/>
    <d v="2019-03-14T00:00:00"/>
    <d v="2019-04-21T00:00:00"/>
    <n v="39"/>
  </r>
  <r>
    <x v="26"/>
    <x v="5"/>
    <x v="19"/>
    <x v="47"/>
    <n v="273338.88"/>
    <n v="1016508.91"/>
    <n v="9.1899899999999999"/>
    <n v="-83.062830000000005"/>
    <n v="2852"/>
    <s v="Low"/>
    <d v="2019-03-07T00:00:00"/>
    <d v="2019-04-21T00:00:00"/>
    <n v="46"/>
  </r>
  <r>
    <x v="26"/>
    <x v="5"/>
    <x v="19"/>
    <x v="53"/>
    <n v="273852.57"/>
    <n v="1017905.44"/>
    <n v="9.2026400000000006"/>
    <n v="-83.058229999999995"/>
    <n v="2969"/>
    <s v="Low"/>
    <d v="2019-03-08T00:00:00"/>
    <d v="2019-04-21T00:00:00"/>
    <n v="45"/>
  </r>
  <r>
    <x v="26"/>
    <x v="5"/>
    <x v="19"/>
    <x v="48"/>
    <n v="271915.68"/>
    <n v="1020930.22"/>
    <n v="9.2298799999999996"/>
    <n v="-83.076009999999997"/>
    <n v="2844"/>
    <s v="Low"/>
    <d v="2019-03-08T00:00:00"/>
    <d v="2019-04-21T00:00:00"/>
    <n v="45"/>
  </r>
  <r>
    <x v="26"/>
    <x v="5"/>
    <x v="19"/>
    <x v="54"/>
    <n v="272258.24"/>
    <n v="1022756.97"/>
    <n v="9.2464099999999991"/>
    <n v="-83.072990000000004"/>
    <n v="2979"/>
    <s v="Low"/>
    <d v="2019-03-09T00:00:00"/>
    <d v="2019-04-22T00:00:00"/>
    <n v="45"/>
  </r>
  <r>
    <x v="26"/>
    <x v="5"/>
    <x v="19"/>
    <x v="49"/>
    <n v="273258.36"/>
    <n v="1023692.63"/>
    <n v="9.2549200000000003"/>
    <n v="-83.063940000000002"/>
    <n v="3072"/>
    <s v="Low"/>
    <d v="2019-04-13T00:00:00"/>
    <d v="2019-04-22T00:00:00"/>
    <n v="10"/>
  </r>
  <r>
    <x v="26"/>
    <x v="5"/>
    <x v="19"/>
    <x v="55"/>
    <n v="274760.90000000002"/>
    <n v="1024094.39"/>
    <n v="9.2586300000000001"/>
    <n v="-83.050290000000004"/>
    <n v="3196"/>
    <s v="Low"/>
    <d v="2019-03-09T00:00:00"/>
    <d v="2019-04-22T00:00:00"/>
    <n v="45"/>
  </r>
  <r>
    <x v="26"/>
    <x v="5"/>
    <x v="19"/>
    <x v="50"/>
    <n v="275845.73"/>
    <n v="1024680.03"/>
    <n v="9.2639800000000001"/>
    <n v="-83.040450000000007"/>
    <n v="3322"/>
    <s v="Low"/>
    <d v="2019-04-13T00:00:00"/>
    <d v="2019-04-22T00:00:00"/>
    <n v="10"/>
  </r>
  <r>
    <x v="27"/>
    <x v="5"/>
    <x v="19"/>
    <x v="46"/>
    <n v="272827.14"/>
    <n v="1011055.56"/>
    <n v="9.1406700000000001"/>
    <n v="-83.0672"/>
    <n v="2207"/>
    <s v="Low"/>
    <d v="2018-12-22T00:00:00"/>
    <d v="2019-02-27T00:00:00"/>
    <n v="68"/>
  </r>
  <r>
    <x v="27"/>
    <x v="5"/>
    <x v="19"/>
    <x v="51"/>
    <n v="273078.33"/>
    <n v="1013063.17"/>
    <n v="9.15883"/>
    <n v="-83.065020000000004"/>
    <n v="2454"/>
    <s v="Low"/>
    <d v="2018-12-20T00:00:00"/>
    <d v="2019-03-07T00:00:00"/>
    <n v="78"/>
  </r>
  <r>
    <x v="27"/>
    <x v="5"/>
    <x v="19"/>
    <x v="52"/>
    <n v="273721.56"/>
    <n v="1014423.55"/>
    <n v="9.1711600000000004"/>
    <n v="-83.059240000000003"/>
    <n v="2706"/>
    <s v="Low"/>
    <d v="2018-12-19T00:00:00"/>
    <d v="2019-03-07T00:00:00"/>
    <n v="79"/>
  </r>
  <r>
    <x v="27"/>
    <x v="5"/>
    <x v="19"/>
    <x v="47"/>
    <n v="273338.88"/>
    <n v="1016508.91"/>
    <n v="9.1899899999999999"/>
    <n v="-83.062830000000005"/>
    <n v="2852"/>
    <s v="Low"/>
    <d v="2018-12-20T00:00:00"/>
    <d v="2019-03-07T00:00:00"/>
    <n v="78"/>
  </r>
  <r>
    <x v="27"/>
    <x v="5"/>
    <x v="19"/>
    <x v="53"/>
    <n v="273852.57"/>
    <n v="1017905.44"/>
    <n v="9.2026400000000006"/>
    <n v="-83.058229999999995"/>
    <n v="2969"/>
    <s v="Low"/>
    <d v="2018-12-20T00:00:00"/>
    <d v="2019-03-08T00:00:00"/>
    <n v="79"/>
  </r>
  <r>
    <x v="27"/>
    <x v="5"/>
    <x v="19"/>
    <x v="48"/>
    <n v="271915.68"/>
    <n v="1020930.22"/>
    <n v="9.2298799999999996"/>
    <n v="-83.076009999999997"/>
    <n v="2844"/>
    <s v="Low"/>
    <d v="2018-12-20T00:00:00"/>
    <d v="2019-03-09T00:00:00"/>
    <n v="80"/>
  </r>
  <r>
    <x v="27"/>
    <x v="5"/>
    <x v="19"/>
    <x v="54"/>
    <n v="272258.24"/>
    <n v="1022756.97"/>
    <n v="9.2464099999999991"/>
    <n v="-83.072990000000004"/>
    <n v="2979"/>
    <s v="Low"/>
    <d v="2018-12-20T00:00:00"/>
    <d v="2019-03-09T00:00:00"/>
    <n v="80"/>
  </r>
  <r>
    <x v="27"/>
    <x v="5"/>
    <x v="19"/>
    <x v="49"/>
    <n v="273258.36"/>
    <n v="1023692.63"/>
    <n v="9.2549200000000003"/>
    <n v="-83.063940000000002"/>
    <n v="3072"/>
    <s v="Low"/>
    <d v="2018-12-20T00:00:00"/>
    <d v="2019-02-22T00:00:00"/>
    <n v="65"/>
  </r>
  <r>
    <x v="27"/>
    <x v="5"/>
    <x v="19"/>
    <x v="55"/>
    <n v="274760.90000000002"/>
    <n v="1024094.39"/>
    <n v="9.2586300000000001"/>
    <n v="-83.050290000000004"/>
    <n v="3196"/>
    <s v="Low"/>
    <d v="2018-12-20T00:00:00"/>
    <d v="2019-03-09T00:00:00"/>
    <n v="80"/>
  </r>
  <r>
    <x v="28"/>
    <x v="5"/>
    <x v="20"/>
    <x v="56"/>
    <n v="273723.8"/>
    <n v="1009422.5"/>
    <n v="9.1259549999999994"/>
    <n v="-83.058959000000002"/>
    <n v="1971"/>
    <s v="Low"/>
    <d v="2018-11-25T00:00:00"/>
    <d v="2019-04-17T00:00:00"/>
    <n v="144"/>
  </r>
  <r>
    <x v="28"/>
    <x v="5"/>
    <x v="20"/>
    <x v="57"/>
    <n v="272965"/>
    <n v="1005362.8"/>
    <n v="9.0892199999999992"/>
    <n v="-83.065650000000005"/>
    <n v="1482"/>
    <s v="Low"/>
    <d v="2019-02-12T00:00:00"/>
    <d v="2019-04-16T00:00:00"/>
    <n v="64"/>
  </r>
  <r>
    <x v="28"/>
    <x v="5"/>
    <x v="20"/>
    <x v="58"/>
    <n v="270451.90000000002"/>
    <n v="1003368"/>
    <n v="9.071059"/>
    <n v="-83.088399999999993"/>
    <n v="920"/>
    <s v="Low"/>
    <d v="2019-02-12T00:00:00"/>
    <d v="2019-04-16T00:00:00"/>
    <n v="64"/>
  </r>
  <r>
    <x v="28"/>
    <x v="5"/>
    <x v="20"/>
    <x v="59"/>
    <n v="271953.90000000002"/>
    <n v="1004170.9"/>
    <n v="9.0783939999999994"/>
    <n v="-83.074782999999996"/>
    <n v="1145"/>
    <s v="Low"/>
    <d v="2019-02-12T00:00:00"/>
    <d v="2019-04-16T00:00:00"/>
    <n v="64"/>
  </r>
  <r>
    <x v="28"/>
    <x v="5"/>
    <x v="20"/>
    <x v="60"/>
    <n v="273412"/>
    <n v="1005507"/>
    <n v="9.0905480000000001"/>
    <n v="-83.061588999999998"/>
    <n v="1438"/>
    <s v="Low"/>
    <d v="2019-02-12T00:00:00"/>
    <d v="2019-04-16T00:00:00"/>
    <n v="64"/>
  </r>
  <r>
    <x v="28"/>
    <x v="5"/>
    <x v="20"/>
    <x v="61"/>
    <n v="275537"/>
    <n v="1006725"/>
    <n v="9.1016720000000007"/>
    <n v="-83.042321000000001"/>
    <n v="1675"/>
    <s v="Low"/>
    <d v="2019-02-27T00:00:00"/>
    <d v="2019-04-16T00:00:00"/>
    <n v="49"/>
  </r>
  <r>
    <x v="0"/>
    <x v="6"/>
    <x v="21"/>
    <x v="62"/>
    <n v="204728"/>
    <n v="1082941"/>
    <n v="9.7860849999999999"/>
    <n v="-83.691515999999993"/>
    <n v="747"/>
    <s v="Low"/>
    <d v="2013-08-09T00:00:00"/>
    <d v="2013-08-09T00:00:00"/>
    <n v="1"/>
  </r>
  <r>
    <x v="0"/>
    <x v="6"/>
    <x v="21"/>
    <x v="63"/>
    <n v="204728"/>
    <n v="1082941"/>
    <n v="9.7749670000000002"/>
    <n v="-83.682033000000004"/>
    <n v="747"/>
    <s v="Low"/>
    <d v="2013-11-07T00:00:00"/>
    <d v="2014-01-15T00:00:00"/>
    <n v="70"/>
  </r>
  <r>
    <x v="1"/>
    <x v="6"/>
    <x v="21"/>
    <x v="64"/>
    <n v="205720"/>
    <n v="1080984"/>
    <n v="9.7684669999999993"/>
    <n v="-83.682333"/>
    <n v="902"/>
    <s v="Low"/>
    <d v="2013-08-01T00:00:00"/>
    <d v="2014-01-07T00:00:00"/>
    <n v="0"/>
  </r>
  <r>
    <x v="1"/>
    <x v="6"/>
    <x v="22"/>
    <x v="65"/>
    <n v="206075"/>
    <n v="1080609"/>
    <n v="9.7651000000000003"/>
    <n v="-83.679083000000006"/>
    <n v="1003"/>
    <s v="Low"/>
    <d v="2014-07-12T00:00:00"/>
    <d v="2014-07-12T00:00:00"/>
    <n v="1"/>
  </r>
  <r>
    <x v="1"/>
    <x v="6"/>
    <x v="21"/>
    <x v="63"/>
    <n v="204728"/>
    <n v="1082941"/>
    <n v="9.7749670000000002"/>
    <n v="-83.682033000000004"/>
    <n v="747"/>
    <s v="Low"/>
    <d v="2014-08-23T00:00:00"/>
    <d v="2014-10-23T00:00:00"/>
    <n v="62"/>
  </r>
  <r>
    <x v="3"/>
    <x v="6"/>
    <x v="21"/>
    <x v="64"/>
    <n v="205720"/>
    <n v="1080984"/>
    <n v="9.4047169999999998"/>
    <n v="-83.504333000000003"/>
    <n v="902"/>
    <s v="Low"/>
    <d v="2014-03-14T00:00:00"/>
    <d v="2014-04-13T00:00:00"/>
    <n v="31"/>
  </r>
  <r>
    <x v="3"/>
    <x v="6"/>
    <x v="23"/>
    <x v="63"/>
    <n v="205759"/>
    <n v="1081704"/>
    <n v="9.7749839999999999"/>
    <n v="-83.682035999999997"/>
    <n v="831"/>
    <s v="Low"/>
    <d v="2014-04-04T00:00:00"/>
    <d v="2014-05-20T00:00:00"/>
    <n v="47"/>
  </r>
  <r>
    <x v="3"/>
    <x v="6"/>
    <x v="24"/>
    <x v="63"/>
    <n v="205590"/>
    <n v="1081949"/>
    <n v="9.7771849999999993"/>
    <n v="-83.683593000000002"/>
    <n v="821"/>
    <s v="Low"/>
    <d v="2012-01-04T00:00:00"/>
    <d v="2012-02-19T00:00:00"/>
    <n v="0"/>
  </r>
  <r>
    <x v="4"/>
    <x v="6"/>
    <x v="21"/>
    <x v="64"/>
    <n v="205720"/>
    <n v="1080984"/>
    <n v="9.7684669999999993"/>
    <n v="-83.682333"/>
    <n v="902"/>
    <s v="Low"/>
    <d v="2015-01-09T00:00:00"/>
    <d v="2015-04-26T00:00:00"/>
    <n v="108"/>
  </r>
  <r>
    <x v="4"/>
    <x v="6"/>
    <x v="21"/>
    <x v="63"/>
    <n v="204728"/>
    <n v="1082941"/>
    <n v="9.7749670000000002"/>
    <n v="-83.682033000000004"/>
    <n v="747"/>
    <s v="Low"/>
    <d v="2015-01-09T00:00:00"/>
    <d v="2015-01-09T00:00:00"/>
    <n v="1"/>
  </r>
  <r>
    <x v="4"/>
    <x v="6"/>
    <x v="21"/>
    <x v="66"/>
    <s v="Unknown"/>
    <s v="Unknown"/>
    <m/>
    <m/>
    <s v="Unknown"/>
    <s v="Low"/>
    <d v="2014-11-03T00:00:00"/>
    <d v="2015-04-30T00:00:00"/>
    <n v="179"/>
  </r>
  <r>
    <x v="22"/>
    <x v="6"/>
    <x v="21"/>
    <x v="64"/>
    <n v="205721"/>
    <n v="1080985"/>
    <n v="9.7684669999999993"/>
    <n v="-83.682333"/>
    <n v="902"/>
    <s v="Low"/>
    <d v="2013-07-20T00:00:00"/>
    <d v="2013-07-30T00:00:00"/>
    <n v="11"/>
  </r>
  <r>
    <x v="19"/>
    <x v="6"/>
    <x v="21"/>
    <x v="64"/>
    <n v="205720"/>
    <n v="1080984"/>
    <n v="9.7684759999999997"/>
    <n v="-83.682338999999999"/>
    <n v="902"/>
    <s v="Low"/>
    <d v="2014-07-12T00:00:00"/>
    <d v="2014-07-12T00:00:00"/>
    <n v="0"/>
  </r>
  <r>
    <x v="19"/>
    <x v="6"/>
    <x v="21"/>
    <x v="65"/>
    <n v="206075"/>
    <n v="1080609"/>
    <n v="9.7651129999999995"/>
    <n v="-83.679078000000004"/>
    <n v="1003"/>
    <s v="Low"/>
    <d v="2014-06-26T00:00:00"/>
    <d v="2014-06-26T00:00:00"/>
    <n v="1"/>
  </r>
  <r>
    <x v="1"/>
    <x v="6"/>
    <x v="21"/>
    <x v="64"/>
    <n v="205720"/>
    <n v="1080984"/>
    <n v="9.7684765220000003"/>
    <n v="-83.682338790000003"/>
    <n v="902"/>
    <s v="Low"/>
    <d v="2014-06-26T00:00:00"/>
    <d v="2015-01-09T00:00:00"/>
    <n v="198"/>
  </r>
  <r>
    <x v="6"/>
    <x v="6"/>
    <x v="21"/>
    <x v="64"/>
    <n v="205720"/>
    <n v="1080984"/>
    <n v="9.7684765220000003"/>
    <n v="-83.682338790000003"/>
    <n v="902"/>
    <s v="Low"/>
    <d v="2015-06-09T00:00:00"/>
    <d v="2016-01-10T00:00:00"/>
    <n v="216"/>
  </r>
  <r>
    <x v="6"/>
    <x v="6"/>
    <x v="21"/>
    <x v="65"/>
    <n v="206075"/>
    <n v="1080609"/>
    <n v="9.7651129999999995"/>
    <n v="-83.679078000000004"/>
    <n v="1003"/>
    <s v="Low"/>
    <d v="2015-08-10T00:00:00"/>
    <d v="2016-01-16T00:00:00"/>
    <n v="160"/>
  </r>
  <r>
    <x v="0"/>
    <x v="6"/>
    <x v="23"/>
    <x v="63"/>
    <n v="204728"/>
    <n v="1082941"/>
    <n v="9.7860859760000007"/>
    <n v="-83.691516210000003"/>
    <n v="747"/>
    <s v="Low"/>
    <d v="2013-11-17T00:00:00"/>
    <d v="2014-01-15T00:00:00"/>
    <n v="60"/>
  </r>
  <r>
    <x v="0"/>
    <x v="6"/>
    <x v="23"/>
    <x v="63"/>
    <n v="205759"/>
    <n v="1081704"/>
    <n v="9.7749843250000001"/>
    <n v="-83.682035709999994"/>
    <n v="747"/>
    <s v="Low"/>
    <d v="2013-07-22T00:00:00"/>
    <d v="2013-07-26T00:00:00"/>
    <n v="5"/>
  </r>
  <r>
    <x v="15"/>
    <x v="6"/>
    <x v="23"/>
    <x v="63"/>
    <n v="204728"/>
    <n v="1082941"/>
    <n v="9.7749670000000002"/>
    <n v="-83.682033000000004"/>
    <n v="747"/>
    <s v="Low"/>
    <d v="2015-05-20T00:00:00"/>
    <d v="2015-07-01T00:00:00"/>
    <n v="43"/>
  </r>
  <r>
    <x v="6"/>
    <x v="6"/>
    <x v="23"/>
    <x v="63"/>
    <n v="204728"/>
    <n v="1082941"/>
    <n v="9.7749670000000002"/>
    <n v="-83.682033000000004"/>
    <n v="747"/>
    <s v="Low"/>
    <d v="2015-09-29T00:00:00"/>
    <d v="2015-12-07T00:00:00"/>
    <n v="70"/>
  </r>
  <r>
    <x v="6"/>
    <x v="6"/>
    <x v="21"/>
    <x v="66"/>
    <n v="0"/>
    <n v="0"/>
    <n v="9.7678609999999999"/>
    <n v="-83.683443999999994"/>
    <s v="NA"/>
    <s v="Low"/>
    <d v="2015-06-01T00:00:00"/>
    <d v="2015-12-03T00:00:00"/>
    <n v="186"/>
  </r>
  <r>
    <x v="11"/>
    <x v="7"/>
    <x v="25"/>
    <x v="67"/>
    <n v="200353"/>
    <n v="956087"/>
    <n v="8.6396789999999992"/>
    <n v="-83.722564000000006"/>
    <n v="109"/>
    <s v="Low"/>
    <m/>
    <m/>
    <n v="0"/>
  </r>
  <r>
    <x v="11"/>
    <x v="7"/>
    <x v="25"/>
    <x v="68"/>
    <n v="200299"/>
    <n v="955772"/>
    <n v="8.6368349999999996"/>
    <n v="-83.723037000000005"/>
    <n v="131"/>
    <s v="Low"/>
    <m/>
    <m/>
    <n v="0"/>
  </r>
  <r>
    <x v="11"/>
    <x v="7"/>
    <x v="26"/>
    <x v="69"/>
    <n v="199736"/>
    <n v="956220"/>
    <n v="8.6408450000000006"/>
    <n v="-83.728176000000005"/>
    <n v="62"/>
    <s v="Low"/>
    <m/>
    <m/>
    <n v="0"/>
  </r>
  <r>
    <x v="11"/>
    <x v="7"/>
    <x v="26"/>
    <x v="70"/>
    <n v="199882"/>
    <n v="955991"/>
    <n v="8.6387889999999992"/>
    <n v="-83.726840999999993"/>
    <n v="86"/>
    <s v="Low"/>
    <m/>
    <m/>
    <n v="0"/>
  </r>
  <r>
    <x v="11"/>
    <x v="7"/>
    <x v="26"/>
    <x v="71"/>
    <n v="200046"/>
    <n v="955806"/>
    <n v="8.6371280000000006"/>
    <n v="-83.725335999999999"/>
    <n v="115"/>
    <s v="Low"/>
    <m/>
    <m/>
    <n v="0"/>
  </r>
  <r>
    <x v="11"/>
    <x v="7"/>
    <x v="27"/>
    <x v="72"/>
    <n v="200417"/>
    <n v="955547"/>
    <n v="8.6348040000000008"/>
    <n v="-83.721953999999997"/>
    <n v="156"/>
    <s v="Low"/>
    <m/>
    <m/>
    <n v="0"/>
  </r>
  <r>
    <x v="11"/>
    <x v="7"/>
    <x v="28"/>
    <x v="73"/>
    <n v="200563"/>
    <n v="955748"/>
    <n v="8.6366309999999995"/>
    <n v="-83.720641999999998"/>
    <n v="158"/>
    <s v="Low"/>
    <m/>
    <m/>
    <n v="0"/>
  </r>
  <r>
    <x v="11"/>
    <x v="7"/>
    <x v="28"/>
    <x v="74"/>
    <n v="200914"/>
    <n v="955899"/>
    <n v="8.6380199999999991"/>
    <n v="-83.717461999999998"/>
    <n v="149"/>
    <s v="Low"/>
    <m/>
    <m/>
    <n v="0"/>
  </r>
  <r>
    <x v="13"/>
    <x v="7"/>
    <x v="28"/>
    <x v="74"/>
    <n v="200914"/>
    <n v="955899"/>
    <n v="8.6380199999999991"/>
    <n v="-83.717461999999998"/>
    <n v="149"/>
    <s v="Low"/>
    <d v="2017-01-06T00:00:00"/>
    <d v="2017-03-22T00:00:00"/>
    <n v="76"/>
  </r>
  <r>
    <x v="13"/>
    <x v="7"/>
    <x v="25"/>
    <x v="67"/>
    <n v="200353"/>
    <n v="956087"/>
    <n v="8.6396789999999992"/>
    <n v="-83.722564000000006"/>
    <n v="109"/>
    <s v="Low"/>
    <d v="2017-01-09T00:00:00"/>
    <d v="2017-04-26T00:00:00"/>
    <n v="108"/>
  </r>
  <r>
    <x v="13"/>
    <x v="7"/>
    <x v="25"/>
    <x v="68"/>
    <n v="200299"/>
    <n v="955772"/>
    <n v="8.6368349999999996"/>
    <n v="-83.723037000000005"/>
    <n v="131"/>
    <s v="Low"/>
    <d v="2017-01-09T00:00:00"/>
    <d v="2017-04-26T00:00:00"/>
    <n v="108"/>
  </r>
  <r>
    <x v="13"/>
    <x v="7"/>
    <x v="26"/>
    <x v="69"/>
    <n v="199736"/>
    <n v="956220"/>
    <n v="8.6408450000000006"/>
    <n v="-83.728176000000005"/>
    <n v="62"/>
    <s v="Low"/>
    <m/>
    <m/>
    <n v="0"/>
  </r>
  <r>
    <x v="13"/>
    <x v="7"/>
    <x v="26"/>
    <x v="70"/>
    <n v="199882"/>
    <n v="955991"/>
    <n v="8.6387889999999992"/>
    <n v="-83.726840999999993"/>
    <n v="86"/>
    <s v="Low"/>
    <d v="2017-01-02T00:00:00"/>
    <d v="2017-02-25T00:00:00"/>
    <n v="55"/>
  </r>
  <r>
    <x v="13"/>
    <x v="7"/>
    <x v="26"/>
    <x v="71"/>
    <n v="200046"/>
    <n v="955806"/>
    <n v="8.6371280000000006"/>
    <n v="-83.725335999999999"/>
    <n v="115"/>
    <s v="Low"/>
    <d v="2017-02-24T00:00:00"/>
    <d v="2017-03-23T00:00:00"/>
    <n v="28"/>
  </r>
  <r>
    <x v="13"/>
    <x v="7"/>
    <x v="27"/>
    <x v="72"/>
    <n v="200417"/>
    <n v="955547"/>
    <n v="8.6348040000000008"/>
    <n v="-83.721953999999997"/>
    <n v="156"/>
    <s v="Low"/>
    <d v="2017-01-27T00:00:00"/>
    <d v="2017-04-03T00:00:00"/>
    <n v="67"/>
  </r>
  <r>
    <x v="13"/>
    <x v="7"/>
    <x v="28"/>
    <x v="73"/>
    <n v="200563"/>
    <n v="955748"/>
    <n v="8.6366309999999995"/>
    <n v="-83.720641999999998"/>
    <n v="158"/>
    <s v="Low"/>
    <d v="2017-01-12T00:00:00"/>
    <d v="2017-04-27T00:00:00"/>
    <n v="106"/>
  </r>
  <r>
    <x v="14"/>
    <x v="7"/>
    <x v="25"/>
    <x v="67"/>
    <n v="200353"/>
    <n v="956087"/>
    <n v="8.6396789999999992"/>
    <n v="-83.722564000000006"/>
    <n v="109"/>
    <s v="Low"/>
    <m/>
    <m/>
    <n v="0"/>
  </r>
  <r>
    <x v="14"/>
    <x v="7"/>
    <x v="25"/>
    <x v="68"/>
    <n v="200299"/>
    <n v="955772"/>
    <n v="8.6368349999999996"/>
    <n v="-83.723037000000005"/>
    <n v="131"/>
    <s v="Low"/>
    <m/>
    <m/>
    <n v="0"/>
  </r>
  <r>
    <x v="14"/>
    <x v="7"/>
    <x v="26"/>
    <x v="69"/>
    <n v="199736"/>
    <n v="956220"/>
    <n v="8.6408450000000006"/>
    <n v="-83.728176000000005"/>
    <n v="62"/>
    <s v="Low"/>
    <m/>
    <m/>
    <n v="0"/>
  </r>
  <r>
    <x v="14"/>
    <x v="7"/>
    <x v="26"/>
    <x v="70"/>
    <n v="199882"/>
    <n v="955991"/>
    <n v="8.6387889999999992"/>
    <n v="-83.726840999999993"/>
    <n v="86"/>
    <s v="Low"/>
    <m/>
    <m/>
    <n v="0"/>
  </r>
  <r>
    <x v="14"/>
    <x v="7"/>
    <x v="26"/>
    <x v="71"/>
    <n v="200046"/>
    <n v="955806"/>
    <n v="8.6371280000000006"/>
    <n v="-83.725335999999999"/>
    <n v="115"/>
    <s v="Low"/>
    <m/>
    <m/>
    <n v="0"/>
  </r>
  <r>
    <x v="14"/>
    <x v="7"/>
    <x v="27"/>
    <x v="72"/>
    <n v="200417"/>
    <n v="955547"/>
    <n v="8.6348040000000008"/>
    <n v="-83.721953999999997"/>
    <n v="156"/>
    <s v="Low"/>
    <m/>
    <m/>
    <n v="0"/>
  </r>
  <r>
    <x v="14"/>
    <x v="7"/>
    <x v="28"/>
    <x v="73"/>
    <n v="200563"/>
    <n v="955748"/>
    <n v="8.6366309999999995"/>
    <n v="-83.720641999999998"/>
    <n v="158"/>
    <s v="Low"/>
    <m/>
    <m/>
    <n v="0"/>
  </r>
  <r>
    <x v="14"/>
    <x v="7"/>
    <x v="28"/>
    <x v="74"/>
    <n v="200914"/>
    <n v="955899"/>
    <n v="8.6380199999999991"/>
    <n v="-83.717461999999998"/>
    <n v="149"/>
    <s v="Low"/>
    <m/>
    <m/>
    <n v="0"/>
  </r>
  <r>
    <x v="16"/>
    <x v="7"/>
    <x v="25"/>
    <x v="68"/>
    <n v="200299"/>
    <n v="955772"/>
    <n v="8.6368349999999996"/>
    <n v="-83.723037000000005"/>
    <n v="131"/>
    <s v="Low"/>
    <d v="2016-01-24T00:00:00"/>
    <d v="2016-10-24T00:00:00"/>
    <n v="102"/>
  </r>
  <r>
    <x v="16"/>
    <x v="7"/>
    <x v="25"/>
    <x v="67"/>
    <n v="200353"/>
    <n v="956087"/>
    <n v="8.6396789999999992"/>
    <n v="-83.722564000000006"/>
    <n v="109"/>
    <s v="Low"/>
    <d v="2016-07-16T00:00:00"/>
    <d v="2016-10-22T00:00:00"/>
    <n v="99"/>
  </r>
  <r>
    <x v="16"/>
    <x v="7"/>
    <x v="26"/>
    <x v="69"/>
    <n v="199736"/>
    <n v="956220"/>
    <n v="8.6408450000000006"/>
    <n v="-83.728176000000005"/>
    <n v="62"/>
    <s v="Low"/>
    <d v="2016-07-17T00:00:00"/>
    <d v="2016-08-08T00:00:00"/>
    <n v="23"/>
  </r>
  <r>
    <x v="16"/>
    <x v="7"/>
    <x v="26"/>
    <x v="70"/>
    <n v="199882"/>
    <n v="955991"/>
    <n v="8.6387889999999992"/>
    <n v="-83.726840999999993"/>
    <n v="86"/>
    <s v="Low"/>
    <d v="2016-07-17T00:00:00"/>
    <d v="2016-10-24T00:00:00"/>
    <n v="100"/>
  </r>
  <r>
    <x v="16"/>
    <x v="7"/>
    <x v="26"/>
    <x v="71"/>
    <n v="200046"/>
    <n v="955806"/>
    <n v="8.6371280000000006"/>
    <n v="-83.725335999999999"/>
    <n v="115"/>
    <s v="Low"/>
    <d v="2016-07-17T00:00:00"/>
    <d v="2016-10-24T00:00:00"/>
    <n v="100"/>
  </r>
  <r>
    <x v="16"/>
    <x v="7"/>
    <x v="27"/>
    <x v="72"/>
    <n v="200417"/>
    <n v="955547"/>
    <n v="8.6348040000000008"/>
    <n v="-83.721953999999997"/>
    <n v="156"/>
    <s v="Low"/>
    <d v="2016-07-23T00:00:00"/>
    <d v="2016-08-15T00:00:00"/>
    <n v="24"/>
  </r>
  <r>
    <x v="16"/>
    <x v="7"/>
    <x v="28"/>
    <x v="73"/>
    <n v="200563"/>
    <n v="955748"/>
    <n v="8.6366309999999995"/>
    <n v="-83.720641999999998"/>
    <n v="158"/>
    <s v="Low"/>
    <d v="2016-07-17T00:00:00"/>
    <d v="2016-09-25T00:00:00"/>
    <n v="71"/>
  </r>
  <r>
    <x v="16"/>
    <x v="7"/>
    <x v="28"/>
    <x v="74"/>
    <n v="200914"/>
    <n v="955899"/>
    <n v="8.6380199999999991"/>
    <n v="-83.717461999999998"/>
    <n v="149"/>
    <s v="Low"/>
    <d v="2016-07-17T00:00:00"/>
    <d v="2016-09-25T00:00:00"/>
    <n v="71"/>
  </r>
  <r>
    <x v="20"/>
    <x v="7"/>
    <x v="26"/>
    <x v="70"/>
    <n v="199882"/>
    <n v="955991"/>
    <n v="8.6387889999999992"/>
    <n v="-83.726840999999993"/>
    <n v="86"/>
    <s v="Low"/>
    <d v="2017-05-08T00:00:00"/>
    <d v="2017-08-18T00:00:00"/>
    <n v="103"/>
  </r>
  <r>
    <x v="20"/>
    <x v="7"/>
    <x v="25"/>
    <x v="67"/>
    <n v="200353"/>
    <n v="956087"/>
    <n v="8.6396789999999992"/>
    <n v="-83.722564000000006"/>
    <n v="109"/>
    <s v="Low"/>
    <d v="2017-05-03T00:00:00"/>
    <d v="2017-08-23T00:00:00"/>
    <n v="113"/>
  </r>
  <r>
    <x v="20"/>
    <x v="7"/>
    <x v="25"/>
    <x v="68"/>
    <n v="200299"/>
    <n v="955772"/>
    <n v="8.6368349999999996"/>
    <n v="-83.723037000000005"/>
    <n v="131"/>
    <s v="Low"/>
    <m/>
    <m/>
    <n v="0"/>
  </r>
  <r>
    <x v="20"/>
    <x v="7"/>
    <x v="26"/>
    <x v="69"/>
    <n v="199736"/>
    <n v="956220"/>
    <n v="8.6408450000000006"/>
    <n v="-83.728176000000005"/>
    <n v="62"/>
    <s v="Low"/>
    <d v="2017-05-28T00:00:00"/>
    <d v="2017-07-22T00:00:00"/>
    <n v="56"/>
  </r>
  <r>
    <x v="20"/>
    <x v="7"/>
    <x v="26"/>
    <x v="71"/>
    <n v="200046"/>
    <n v="955806"/>
    <n v="8.6371280000000006"/>
    <n v="-83.725335999999999"/>
    <n v="115"/>
    <s v="Low"/>
    <d v="2017-05-13T00:00:00"/>
    <d v="2017-08-27T00:00:00"/>
    <n v="107"/>
  </r>
  <r>
    <x v="20"/>
    <x v="7"/>
    <x v="27"/>
    <x v="72"/>
    <n v="200417"/>
    <n v="955547"/>
    <n v="8.6348040000000008"/>
    <n v="-83.721953999999997"/>
    <n v="156"/>
    <s v="Low"/>
    <d v="2017-05-13T00:00:00"/>
    <d v="2017-05-30T00:00:00"/>
    <n v="18"/>
  </r>
  <r>
    <x v="20"/>
    <x v="7"/>
    <x v="28"/>
    <x v="73"/>
    <n v="200563"/>
    <n v="955748"/>
    <n v="8.6366309999999995"/>
    <n v="-83.720641999999998"/>
    <n v="158"/>
    <s v="Low"/>
    <d v="2017-05-23T00:00:00"/>
    <d v="2017-05-23T00:00:00"/>
    <n v="1"/>
  </r>
  <r>
    <x v="20"/>
    <x v="7"/>
    <x v="28"/>
    <x v="74"/>
    <n v="200914"/>
    <n v="955899"/>
    <n v="8.6380199999999991"/>
    <n v="-83.717461999999998"/>
    <n v="149"/>
    <s v="Low"/>
    <d v="2017-05-03T00:00:00"/>
    <d v="2017-06-23T00:00:00"/>
    <n v="52"/>
  </r>
  <r>
    <x v="11"/>
    <x v="8"/>
    <x v="29"/>
    <x v="75"/>
    <n v="281525"/>
    <n v="1001404"/>
    <n v="9.0538699999999999"/>
    <n v="-82.9876"/>
    <n v="2119"/>
    <s v="Low"/>
    <d v="2017-09-22T00:00:00"/>
    <d v="2017-11-21T00:00:00"/>
    <n v="61"/>
  </r>
  <r>
    <x v="11"/>
    <x v="8"/>
    <x v="29"/>
    <x v="76"/>
    <n v="281951"/>
    <n v="1002330"/>
    <n v="9.0622600000000002"/>
    <n v="-82.983779999999996"/>
    <n v="2086"/>
    <s v="Low"/>
    <d v="2017-09-22T00:00:00"/>
    <d v="2017-11-21T00:00:00"/>
    <n v="61"/>
  </r>
  <r>
    <x v="11"/>
    <x v="8"/>
    <x v="29"/>
    <x v="77"/>
    <n v="282466"/>
    <n v="1003225"/>
    <n v="9.0703700000000005"/>
    <n v="-82.979140000000001"/>
    <n v="2267"/>
    <s v="Low"/>
    <d v="2017-09-22T00:00:00"/>
    <d v="2017-11-21T00:00:00"/>
    <n v="61"/>
  </r>
  <r>
    <x v="11"/>
    <x v="8"/>
    <x v="29"/>
    <x v="78"/>
    <n v="282751"/>
    <n v="1004271"/>
    <n v="9.0798400000000008"/>
    <n v="-82.976600000000005"/>
    <n v="2302"/>
    <s v="Low"/>
    <d v="2017-09-22T00:00:00"/>
    <d v="2017-11-21T00:00:00"/>
    <n v="61"/>
  </r>
  <r>
    <x v="11"/>
    <x v="8"/>
    <x v="29"/>
    <x v="79"/>
    <n v="282616"/>
    <n v="1004968"/>
    <n v="9.0861400000000003"/>
    <n v="-82.977860000000007"/>
    <m/>
    <s v="Low"/>
    <d v="2017-09-22T00:00:00"/>
    <d v="2017-11-21T00:00:00"/>
    <n v="61"/>
  </r>
  <r>
    <x v="29"/>
    <x v="8"/>
    <x v="29"/>
    <x v="75"/>
    <n v="281525"/>
    <n v="1001404"/>
    <n v="9.0538699999999999"/>
    <n v="-82.9876"/>
    <n v="2119"/>
    <s v="Low"/>
    <d v="2018-09-24T00:00:00"/>
    <d v="2019-02-12T00:00:00"/>
    <n v="142"/>
  </r>
  <r>
    <x v="29"/>
    <x v="8"/>
    <x v="29"/>
    <x v="76"/>
    <n v="281951"/>
    <n v="1002330"/>
    <n v="9.0622600000000002"/>
    <n v="-82.983779999999996"/>
    <n v="2086"/>
    <s v="Low"/>
    <d v="2018-09-24T00:00:00"/>
    <d v="2018-12-23T00:00:00"/>
    <n v="91"/>
  </r>
  <r>
    <x v="29"/>
    <x v="8"/>
    <x v="29"/>
    <x v="77"/>
    <n v="282466"/>
    <n v="1003225"/>
    <n v="9.0703700000000005"/>
    <n v="-82.979140000000001"/>
    <n v="2267"/>
    <s v="Low"/>
    <d v="2018-09-24T00:00:00"/>
    <d v="2018-12-15T00:00:00"/>
    <n v="83"/>
  </r>
  <r>
    <x v="29"/>
    <x v="8"/>
    <x v="29"/>
    <x v="78"/>
    <n v="282751"/>
    <n v="1004271"/>
    <n v="9.0798400000000008"/>
    <n v="-82.976600000000005"/>
    <n v="2302"/>
    <s v="Low"/>
    <d v="2018-09-24T00:00:00"/>
    <d v="2019-02-12T00:00:00"/>
    <n v="142"/>
  </r>
  <r>
    <x v="29"/>
    <x v="8"/>
    <x v="29"/>
    <x v="79"/>
    <n v="282616"/>
    <n v="1004968"/>
    <n v="9.0861400000000003"/>
    <n v="-82.977860000000007"/>
    <n v="2486"/>
    <s v="Low"/>
    <d v="2018-09-24T00:00:00"/>
    <d v="2019-02-12T00:00:00"/>
    <n v="142"/>
  </r>
  <r>
    <x v="29"/>
    <x v="8"/>
    <x v="29"/>
    <x v="80"/>
    <n v="282788.58"/>
    <n v="1005988.42"/>
    <n v="9.0953700000000008"/>
    <n v="-82.976339999999993"/>
    <n v="2555"/>
    <s v="Low"/>
    <d v="2018-09-24T00:00:00"/>
    <d v="2019-02-12T00:00:00"/>
    <n v="142"/>
  </r>
  <r>
    <x v="29"/>
    <x v="8"/>
    <x v="29"/>
    <x v="81"/>
    <n v="283239.52"/>
    <n v="1006618.73"/>
    <n v="9.1010899999999992"/>
    <n v="-82.972269999999995"/>
    <n v="2516"/>
    <s v="Low"/>
    <m/>
    <m/>
    <n v="0"/>
  </r>
  <r>
    <x v="29"/>
    <x v="8"/>
    <x v="29"/>
    <x v="82"/>
    <n v="283741.14"/>
    <n v="1006665.78"/>
    <n v="9.10154"/>
    <n v="-82.967709999999997"/>
    <n v="2524"/>
    <s v="Low"/>
    <d v="2018-09-24T00:00:00"/>
    <d v="2019-02-12T00:00:00"/>
    <n v="142"/>
  </r>
  <r>
    <x v="29"/>
    <x v="8"/>
    <x v="29"/>
    <x v="83"/>
    <n v="284323.02"/>
    <n v="1007523.27"/>
    <n v="9.1093200000000003"/>
    <n v="-82.962459999999993"/>
    <n v="2491"/>
    <s v="Low"/>
    <d v="2018-09-24T00:00:00"/>
    <d v="2019-02-12T00:00:00"/>
    <n v="142"/>
  </r>
  <r>
    <x v="29"/>
    <x v="8"/>
    <x v="29"/>
    <x v="84"/>
    <n v="284225.40999999997"/>
    <n v="1008377.81"/>
    <n v="9.1170399999999994"/>
    <n v="-82.963390000000004"/>
    <n v="2474"/>
    <s v="Low"/>
    <d v="2018-09-25T00:00:00"/>
    <d v="2019-02-13T00:00:00"/>
    <n v="142"/>
  </r>
  <r>
    <x v="29"/>
    <x v="8"/>
    <x v="29"/>
    <x v="75"/>
    <n v="281525"/>
    <n v="1001404"/>
    <n v="9.0538699999999999"/>
    <n v="-82.9876"/>
    <n v="2119"/>
    <s v="Low"/>
    <d v="2019-02-13T00:00:00"/>
    <d v="2019-05-12T00:00:00"/>
    <n v="89"/>
  </r>
  <r>
    <x v="29"/>
    <x v="8"/>
    <x v="29"/>
    <x v="76"/>
    <n v="281951"/>
    <n v="1002330"/>
    <n v="9.0622600000000002"/>
    <n v="-82.983779999999996"/>
    <n v="2086"/>
    <s v="Low"/>
    <d v="2019-02-12T00:00:00"/>
    <d v="2019-05-12T00:00:00"/>
    <n v="90"/>
  </r>
  <r>
    <x v="29"/>
    <x v="8"/>
    <x v="29"/>
    <x v="77"/>
    <n v="282466"/>
    <n v="1003225"/>
    <n v="9.0703700000000005"/>
    <n v="-82.979140000000001"/>
    <n v="2267"/>
    <s v="Low"/>
    <d v="2019-02-12T00:00:00"/>
    <d v="2019-03-07T00:00:00"/>
    <n v="24"/>
  </r>
  <r>
    <x v="29"/>
    <x v="8"/>
    <x v="29"/>
    <x v="78"/>
    <n v="282751"/>
    <n v="1004271"/>
    <n v="9.0798400000000008"/>
    <n v="-82.976600000000005"/>
    <n v="2302"/>
    <s v="Low"/>
    <d v="2019-02-12T00:00:00"/>
    <d v="2019-05-12T00:00:00"/>
    <n v="90"/>
  </r>
  <r>
    <x v="29"/>
    <x v="8"/>
    <x v="29"/>
    <x v="79"/>
    <n v="282616"/>
    <n v="1004968"/>
    <n v="9.0861400000000003"/>
    <n v="-82.977860000000007"/>
    <n v="2486"/>
    <s v="Low"/>
    <d v="2019-02-12T00:00:00"/>
    <d v="2019-05-12T00:00:00"/>
    <n v="90"/>
  </r>
  <r>
    <x v="29"/>
    <x v="8"/>
    <x v="29"/>
    <x v="80"/>
    <n v="282788.58"/>
    <n v="1005988.42"/>
    <n v="9.0953700000000008"/>
    <n v="-82.976339999999993"/>
    <n v="2555"/>
    <s v="Low"/>
    <d v="2019-02-12T00:00:00"/>
    <d v="2019-05-12T00:00:00"/>
    <n v="90"/>
  </r>
  <r>
    <x v="29"/>
    <x v="8"/>
    <x v="29"/>
    <x v="81"/>
    <n v="283239.52"/>
    <n v="1006618.73"/>
    <n v="9.1010899999999992"/>
    <n v="-82.972269999999995"/>
    <n v="2516"/>
    <s v="Low"/>
    <d v="2019-02-12T00:00:00"/>
    <d v="2019-05-12T00:00:00"/>
    <n v="90"/>
  </r>
  <r>
    <x v="29"/>
    <x v="8"/>
    <x v="29"/>
    <x v="82"/>
    <n v="283741.14"/>
    <n v="1006665.78"/>
    <n v="9.10154"/>
    <n v="-82.967709999999997"/>
    <n v="2524"/>
    <s v="Low"/>
    <d v="2019-02-12T00:00:00"/>
    <d v="2019-05-12T00:00:00"/>
    <n v="90"/>
  </r>
  <r>
    <x v="29"/>
    <x v="8"/>
    <x v="29"/>
    <x v="83"/>
    <n v="284323.02"/>
    <n v="1007523.27"/>
    <n v="9.1093200000000003"/>
    <n v="-82.962459999999993"/>
    <n v="2491"/>
    <s v="Low"/>
    <d v="2019-02-12T00:00:00"/>
    <d v="2019-04-03T00:00:00"/>
    <n v="51"/>
  </r>
  <r>
    <x v="29"/>
    <x v="8"/>
    <x v="29"/>
    <x v="84"/>
    <n v="284225.40999999997"/>
    <n v="1008377.81"/>
    <n v="9.1170399999999994"/>
    <n v="-82.963390000000004"/>
    <n v="2474"/>
    <s v="Low"/>
    <d v="2019-02-13T00:00:00"/>
    <d v="2019-05-13T00:00:00"/>
    <n v="90"/>
  </r>
  <r>
    <x v="30"/>
    <x v="8"/>
    <x v="29"/>
    <x v="75"/>
    <n v="281525"/>
    <n v="1001404"/>
    <n v="9.0538699999999999"/>
    <n v="-82.9876"/>
    <n v="2119"/>
    <s v="Low"/>
    <d v="2019-05-12T00:00:00"/>
    <d v="2019-06-24T00:00:00"/>
    <n v="44"/>
  </r>
  <r>
    <x v="30"/>
    <x v="8"/>
    <x v="29"/>
    <x v="76"/>
    <n v="281951"/>
    <n v="1002330"/>
    <n v="9.0622600000000002"/>
    <n v="-82.983779999999996"/>
    <n v="2086"/>
    <s v="Low"/>
    <d v="2019-05-12T00:00:00"/>
    <d v="2019-06-24T00:00:00"/>
    <n v="44"/>
  </r>
  <r>
    <x v="30"/>
    <x v="8"/>
    <x v="29"/>
    <x v="77"/>
    <n v="282466"/>
    <n v="1003225"/>
    <n v="9.0703700000000005"/>
    <n v="-82.979140000000001"/>
    <n v="2267"/>
    <s v="Low"/>
    <d v="2019-05-12T00:00:00"/>
    <d v="2019-06-24T00:00:00"/>
    <n v="44"/>
  </r>
  <r>
    <x v="30"/>
    <x v="8"/>
    <x v="29"/>
    <x v="78"/>
    <n v="282751"/>
    <n v="1004271"/>
    <n v="9.0798400000000008"/>
    <n v="-82.976600000000005"/>
    <n v="2302"/>
    <s v="Low"/>
    <d v="2019-05-12T00:00:00"/>
    <d v="2019-06-24T00:00:00"/>
    <n v="44"/>
  </r>
  <r>
    <x v="30"/>
    <x v="8"/>
    <x v="29"/>
    <x v="79"/>
    <n v="282616"/>
    <n v="1004968"/>
    <n v="9.0861400000000003"/>
    <n v="-82.977860000000007"/>
    <n v="2486"/>
    <s v="Low"/>
    <d v="2019-05-12T00:00:00"/>
    <d v="2019-06-24T00:00:00"/>
    <n v="44"/>
  </r>
  <r>
    <x v="30"/>
    <x v="8"/>
    <x v="29"/>
    <x v="80"/>
    <n v="282788.58"/>
    <n v="1005988.42"/>
    <n v="9.0953700000000008"/>
    <n v="-82.976339999999993"/>
    <n v="2555"/>
    <s v="Low"/>
    <d v="2019-05-12T00:00:00"/>
    <d v="2019-06-24T00:00:00"/>
    <n v="44"/>
  </r>
  <r>
    <x v="30"/>
    <x v="8"/>
    <x v="29"/>
    <x v="81"/>
    <n v="283239.52"/>
    <n v="1006618.73"/>
    <n v="9.1010899999999992"/>
    <n v="-82.972269999999995"/>
    <n v="2516"/>
    <s v="Low"/>
    <d v="2019-05-12T00:00:00"/>
    <d v="2019-06-24T00:00:00"/>
    <n v="44"/>
  </r>
  <r>
    <x v="30"/>
    <x v="8"/>
    <x v="29"/>
    <x v="82"/>
    <n v="283741.14"/>
    <n v="1006665.78"/>
    <n v="9.10154"/>
    <n v="-82.967709999999997"/>
    <n v="2524"/>
    <s v="Low"/>
    <d v="2019-05-12T00:00:00"/>
    <d v="2019-06-24T00:00:00"/>
    <n v="44"/>
  </r>
  <r>
    <x v="30"/>
    <x v="8"/>
    <x v="29"/>
    <x v="83"/>
    <n v="284323.02"/>
    <n v="1007523.27"/>
    <n v="9.1093200000000003"/>
    <n v="-82.962459999999993"/>
    <n v="2491"/>
    <s v="Low"/>
    <d v="2019-05-12T00:00:00"/>
    <d v="2019-06-24T00:00:00"/>
    <n v="44"/>
  </r>
  <r>
    <x v="30"/>
    <x v="8"/>
    <x v="29"/>
    <x v="84"/>
    <n v="284225.40999999997"/>
    <n v="1008377.81"/>
    <n v="9.1170399999999994"/>
    <n v="-82.963390000000004"/>
    <n v="2474"/>
    <s v="Low"/>
    <d v="2019-05-13T00:00:00"/>
    <d v="2019-06-25T00:00:00"/>
    <n v="44"/>
  </r>
  <r>
    <x v="14"/>
    <x v="8"/>
    <x v="29"/>
    <x v="75"/>
    <n v="281525"/>
    <n v="1001404"/>
    <n v="9.0538699999999999"/>
    <n v="-82.9876"/>
    <n v="2119"/>
    <s v="Low"/>
    <d v="2017-12-05T00:00:00"/>
    <d v="2018-05-30T00:00:00"/>
    <n v="177"/>
  </r>
  <r>
    <x v="14"/>
    <x v="8"/>
    <x v="29"/>
    <x v="76"/>
    <n v="281951"/>
    <n v="1002330"/>
    <n v="9.0622600000000002"/>
    <n v="-82.983779999999996"/>
    <n v="2086"/>
    <s v="Low"/>
    <d v="2017-12-05T00:00:00"/>
    <d v="2018-02-02T00:00:00"/>
    <n v="60"/>
  </r>
  <r>
    <x v="14"/>
    <x v="8"/>
    <x v="29"/>
    <x v="77"/>
    <n v="282466"/>
    <n v="1003225"/>
    <n v="9.0703700000000005"/>
    <n v="-82.979140000000001"/>
    <n v="2267"/>
    <s v="Low"/>
    <d v="2017-12-05T00:00:00"/>
    <d v="2018-02-04T00:00:00"/>
    <n v="62"/>
  </r>
  <r>
    <x v="14"/>
    <x v="8"/>
    <x v="29"/>
    <x v="78"/>
    <n v="282751"/>
    <n v="1004271"/>
    <n v="9.0798400000000008"/>
    <n v="-82.976600000000005"/>
    <n v="2302"/>
    <s v="Low"/>
    <d v="2017-12-05T00:00:00"/>
    <d v="2018-02-02T00:00:00"/>
    <n v="60"/>
  </r>
  <r>
    <x v="14"/>
    <x v="8"/>
    <x v="29"/>
    <x v="79"/>
    <n v="282616"/>
    <n v="1004968"/>
    <n v="9.0861400000000003"/>
    <n v="-82.977860000000007"/>
    <m/>
    <s v="Low"/>
    <d v="2017-12-05T00:00:00"/>
    <d v="2018-05-30T00:00:00"/>
    <n v="177"/>
  </r>
  <r>
    <x v="20"/>
    <x v="8"/>
    <x v="29"/>
    <x v="79"/>
    <n v="280769"/>
    <n v="571613"/>
    <n v="9.0861099999999997"/>
    <n v="-82.977779999999996"/>
    <n v="2469"/>
    <s v="Low"/>
    <d v="2017-05-30T00:00:00"/>
    <d v="2017-09-21T00:00:00"/>
    <n v="92"/>
  </r>
  <r>
    <x v="20"/>
    <x v="8"/>
    <x v="29"/>
    <x v="75"/>
    <n v="281525"/>
    <n v="1001404"/>
    <n v="9.0538699999999999"/>
    <n v="-82.9876"/>
    <n v="2119"/>
    <s v="Low"/>
    <d v="2017-05-30T00:00:00"/>
    <d v="2017-09-21T00:00:00"/>
    <n v="115"/>
  </r>
  <r>
    <x v="20"/>
    <x v="8"/>
    <x v="29"/>
    <x v="76"/>
    <n v="281951"/>
    <n v="1002330"/>
    <n v="9.0622600000000002"/>
    <n v="-82.983779999999996"/>
    <n v="2086"/>
    <s v="Low"/>
    <d v="2017-05-30T00:00:00"/>
    <d v="2017-09-21T00:00:00"/>
    <n v="115"/>
  </r>
  <r>
    <x v="20"/>
    <x v="8"/>
    <x v="29"/>
    <x v="77"/>
    <n v="282466"/>
    <n v="1003225"/>
    <n v="9.0703700000000005"/>
    <n v="-82.979140000000001"/>
    <n v="2267"/>
    <s v="Low"/>
    <d v="2017-05-30T00:00:00"/>
    <d v="2017-09-21T00:00:00"/>
    <n v="115"/>
  </r>
  <r>
    <x v="20"/>
    <x v="8"/>
    <x v="29"/>
    <x v="78"/>
    <n v="282751"/>
    <n v="1004271"/>
    <n v="9.0798400000000008"/>
    <n v="-82.976600000000005"/>
    <n v="2302"/>
    <s v="Low"/>
    <d v="2017-05-30T00:00:00"/>
    <d v="2017-09-21T00:00:00"/>
    <n v="115"/>
  </r>
  <r>
    <x v="31"/>
    <x v="8"/>
    <x v="29"/>
    <x v="75"/>
    <n v="281525"/>
    <n v="1001404"/>
    <n v="9.0538699999999999"/>
    <n v="-82.9876"/>
    <n v="2119"/>
    <s v="Low"/>
    <d v="2018-05-31T00:00:00"/>
    <d v="2018-09-24T00:00:00"/>
    <n v="117"/>
  </r>
  <r>
    <x v="31"/>
    <x v="8"/>
    <x v="29"/>
    <x v="76"/>
    <n v="281951"/>
    <n v="1002330"/>
    <n v="9.0622600000000002"/>
    <n v="-82.983779999999996"/>
    <n v="2086"/>
    <s v="Low"/>
    <d v="2018-05-30T00:00:00"/>
    <d v="2018-09-24T00:00:00"/>
    <n v="118"/>
  </r>
  <r>
    <x v="31"/>
    <x v="8"/>
    <x v="29"/>
    <x v="77"/>
    <n v="282466"/>
    <n v="1003225"/>
    <n v="9.0703700000000005"/>
    <n v="-82.979140000000001"/>
    <n v="2267"/>
    <s v="Low"/>
    <d v="2018-05-30T00:00:00"/>
    <d v="2018-09-24T00:00:00"/>
    <n v="118"/>
  </r>
  <r>
    <x v="31"/>
    <x v="8"/>
    <x v="29"/>
    <x v="78"/>
    <n v="282751"/>
    <n v="1004271"/>
    <n v="9.0798400000000008"/>
    <n v="-82.976600000000005"/>
    <n v="2302"/>
    <s v="Low"/>
    <d v="2018-05-30T00:00:00"/>
    <d v="2018-09-24T00:00:00"/>
    <n v="118"/>
  </r>
  <r>
    <x v="31"/>
    <x v="8"/>
    <x v="29"/>
    <x v="79"/>
    <n v="282616"/>
    <n v="1004968"/>
    <n v="9.0861400000000003"/>
    <n v="-82.977860000000007"/>
    <n v="2486"/>
    <s v="Low"/>
    <d v="2018-05-31T00:00:00"/>
    <d v="2018-09-24T00:00:00"/>
    <n v="117"/>
  </r>
  <r>
    <x v="31"/>
    <x v="8"/>
    <x v="29"/>
    <x v="80"/>
    <n v="282788.58"/>
    <n v="1005988.42"/>
    <n v="9.0953700000000008"/>
    <n v="-82.976339999999993"/>
    <n v="2555"/>
    <s v="Low"/>
    <d v="2018-07-09T00:00:00"/>
    <d v="2018-09-24T00:00:00"/>
    <n v="78"/>
  </r>
  <r>
    <x v="31"/>
    <x v="8"/>
    <x v="29"/>
    <x v="81"/>
    <n v="283239.52"/>
    <n v="1006618.73"/>
    <n v="9.1010899999999992"/>
    <n v="-82.972269999999995"/>
    <n v="2516"/>
    <s v="Low"/>
    <d v="2018-07-09T00:00:00"/>
    <d v="2018-09-24T00:00:00"/>
    <n v="78"/>
  </r>
  <r>
    <x v="31"/>
    <x v="8"/>
    <x v="29"/>
    <x v="82"/>
    <n v="283741.14"/>
    <n v="1006665.78"/>
    <n v="9.10154"/>
    <n v="-82.967709999999997"/>
    <n v="2524"/>
    <s v="Low"/>
    <d v="2018-07-09T00:00:00"/>
    <d v="2018-09-24T00:00:00"/>
    <n v="78"/>
  </r>
  <r>
    <x v="31"/>
    <x v="8"/>
    <x v="29"/>
    <x v="83"/>
    <n v="284323.02"/>
    <n v="1007523.27"/>
    <n v="9.1093200000000003"/>
    <n v="-82.962459999999993"/>
    <n v="2491"/>
    <s v="Low"/>
    <d v="2018-07-09T00:00:00"/>
    <d v="2018-09-24T00:00:00"/>
    <n v="78"/>
  </r>
  <r>
    <x v="31"/>
    <x v="8"/>
    <x v="29"/>
    <x v="84"/>
    <n v="284225.40999999997"/>
    <n v="1008377.81"/>
    <n v="9.1170399999999994"/>
    <n v="-82.963390000000004"/>
    <n v="2474"/>
    <s v="Low"/>
    <d v="2018-07-10T00:00:00"/>
    <d v="2018-09-25T00:00:00"/>
    <n v="78"/>
  </r>
  <r>
    <x v="1"/>
    <x v="9"/>
    <x v="10"/>
    <x v="85"/>
    <n v="763607"/>
    <n v="1083703"/>
    <n v="9.7983499999999992"/>
    <n v="-84.597916999999995"/>
    <n v="28"/>
    <s v="Low"/>
    <d v="2014-09-27T00:00:00"/>
    <d v="2014-11-17T00:00:00"/>
    <n v="52"/>
  </r>
  <r>
    <x v="1"/>
    <x v="9"/>
    <x v="10"/>
    <x v="86"/>
    <n v="763598"/>
    <n v="1083725"/>
    <n v="9.7753169999999994"/>
    <n v="-84.601016999999999"/>
    <n v="62"/>
    <s v="Low"/>
    <d v="2014-09-26T00:00:00"/>
    <d v="2014-11-26T00:00:00"/>
    <n v="62"/>
  </r>
  <r>
    <x v="1"/>
    <x v="9"/>
    <x v="10"/>
    <x v="87"/>
    <n v="763572"/>
    <n v="1083669"/>
    <n v="9.7744499999999999"/>
    <n v="-84.601917"/>
    <n v="64"/>
    <s v="Low"/>
    <d v="2014-09-26T00:00:00"/>
    <d v="2014-10-07T00:00:00"/>
    <n v="12"/>
  </r>
  <r>
    <x v="32"/>
    <x v="9"/>
    <x v="10"/>
    <x v="88"/>
    <n v="763637"/>
    <n v="1083718"/>
    <n v="9.7982999999999993"/>
    <n v="-84.596900000000005"/>
    <n v="23"/>
    <s v="Low"/>
    <d v="2017-06-29T00:00:00"/>
    <d v="2017-07-12T00:00:00"/>
    <n v="14"/>
  </r>
  <r>
    <x v="32"/>
    <x v="9"/>
    <x v="10"/>
    <x v="88"/>
    <n v="763637"/>
    <n v="1083718"/>
    <n v="9.7982999999999993"/>
    <n v="-84.596900000000005"/>
    <n v="23"/>
    <s v="Low"/>
    <d v="2017-07-26T00:00:00"/>
    <d v="2017-08-13T00:00:00"/>
    <n v="19"/>
  </r>
  <r>
    <x v="32"/>
    <x v="9"/>
    <x v="10"/>
    <x v="88"/>
    <n v="763637"/>
    <n v="1083718"/>
    <n v="9.7982999999999993"/>
    <n v="-84.596900000000005"/>
    <n v="23"/>
    <s v="Low"/>
    <d v="2017-06-01T00:00:00"/>
    <d v="2017-06-14T00:00:00"/>
    <n v="14"/>
  </r>
  <r>
    <x v="32"/>
    <x v="9"/>
    <x v="10"/>
    <x v="88"/>
    <n v="763637"/>
    <n v="1083718"/>
    <n v="9.7982999999999993"/>
    <n v="-84.596900000000005"/>
    <n v="23"/>
    <s v="Low"/>
    <d v="2017-07-12T00:00:00"/>
    <d v="2017-07-26T00:00:00"/>
    <n v="15"/>
  </r>
  <r>
    <x v="32"/>
    <x v="9"/>
    <x v="10"/>
    <x v="88"/>
    <n v="763637"/>
    <n v="1083718"/>
    <n v="9.7982999999999993"/>
    <n v="-84.596900000000005"/>
    <n v="23"/>
    <s v="Low"/>
    <d v="2017-06-14T00:00:00"/>
    <d v="2017-06-21T00:00:00"/>
    <n v="8"/>
  </r>
  <r>
    <x v="32"/>
    <x v="9"/>
    <x v="10"/>
    <x v="85"/>
    <n v="763607"/>
    <n v="1083703"/>
    <n v="9.7983499999999992"/>
    <n v="-84.597916999999995"/>
    <n v="20"/>
    <s v="Low"/>
    <d v="2017-08-13T00:00:00"/>
    <d v="2017-08-29T00:00:00"/>
    <n v="17"/>
  </r>
  <r>
    <x v="32"/>
    <x v="9"/>
    <x v="10"/>
    <x v="85"/>
    <n v="763607"/>
    <n v="1083703"/>
    <n v="9.7983499999999992"/>
    <n v="-84.597916999999995"/>
    <n v="20"/>
    <s v="Low"/>
    <d v="2017-06-29T00:00:00"/>
    <d v="2017-06-30T00:00:00"/>
    <n v="2"/>
  </r>
  <r>
    <x v="32"/>
    <x v="9"/>
    <x v="10"/>
    <x v="85"/>
    <n v="763607"/>
    <n v="1083703"/>
    <n v="9.7983499999999992"/>
    <n v="-84.597916999999995"/>
    <n v="20"/>
    <s v="Low"/>
    <d v="2017-07-26T00:00:00"/>
    <d v="2017-08-13T00:00:00"/>
    <n v="19"/>
  </r>
  <r>
    <x v="32"/>
    <x v="9"/>
    <x v="10"/>
    <x v="85"/>
    <n v="763607"/>
    <n v="1083703"/>
    <n v="9.7983499999999992"/>
    <n v="-84.597916999999995"/>
    <n v="20"/>
    <s v="Low"/>
    <d v="2017-07-12T00:00:00"/>
    <d v="2017-07-15T00:00:00"/>
    <n v="4"/>
  </r>
  <r>
    <x v="32"/>
    <x v="9"/>
    <x v="10"/>
    <x v="85"/>
    <n v="763607"/>
    <n v="1083703"/>
    <n v="9.7983499999999992"/>
    <n v="-84.597916999999995"/>
    <n v="20"/>
    <s v="Low"/>
    <d v="2017-06-14T00:00:00"/>
    <d v="2017-06-29T00:00:00"/>
    <n v="16"/>
  </r>
  <r>
    <x v="32"/>
    <x v="9"/>
    <x v="10"/>
    <x v="86"/>
    <n v="763598"/>
    <n v="1083725"/>
    <n v="9.7753169999999994"/>
    <n v="-84.601016999999999"/>
    <n v="13"/>
    <s v="Low"/>
    <d v="2017-08-13T00:00:00"/>
    <d v="2017-08-29T00:00:00"/>
    <n v="17"/>
  </r>
  <r>
    <x v="32"/>
    <x v="9"/>
    <x v="10"/>
    <x v="86"/>
    <n v="763598"/>
    <n v="1083725"/>
    <n v="9.7753169999999994"/>
    <n v="-84.601016999999999"/>
    <n v="13"/>
    <s v="Low"/>
    <d v="2017-07-26T00:00:00"/>
    <d v="2017-08-13T00:00:00"/>
    <n v="19"/>
  </r>
  <r>
    <x v="32"/>
    <x v="9"/>
    <x v="10"/>
    <x v="86"/>
    <n v="763598"/>
    <n v="1083725"/>
    <n v="9.7753169999999994"/>
    <n v="-84.601016999999999"/>
    <n v="13"/>
    <s v="Low"/>
    <d v="2017-07-12T00:00:00"/>
    <d v="2017-07-26T00:00:00"/>
    <n v="15"/>
  </r>
  <r>
    <x v="32"/>
    <x v="9"/>
    <x v="10"/>
    <x v="86"/>
    <n v="763598"/>
    <n v="1083725"/>
    <n v="9.7753169999999994"/>
    <n v="-84.601016999999999"/>
    <n v="13"/>
    <s v="Low"/>
    <d v="2017-06-14T00:00:00"/>
    <d v="2017-06-28T00:00:00"/>
    <n v="15"/>
  </r>
  <r>
    <x v="32"/>
    <x v="9"/>
    <x v="10"/>
    <x v="86"/>
    <n v="763598"/>
    <n v="1083725"/>
    <n v="9.7753169999999994"/>
    <n v="-84.601016999999999"/>
    <n v="13"/>
    <s v="Low"/>
    <d v="2017-12-07T00:00:00"/>
    <d v="2017-12-21T00:00:00"/>
    <n v="15"/>
  </r>
  <r>
    <x v="32"/>
    <x v="9"/>
    <x v="10"/>
    <x v="87"/>
    <n v="763572"/>
    <n v="1083669"/>
    <n v="9.7744499999999999"/>
    <n v="-84.601917"/>
    <n v="21"/>
    <s v="Low"/>
    <d v="2017-09-14T00:00:00"/>
    <d v="2017-12-28T00:00:00"/>
    <n v="106"/>
  </r>
  <r>
    <x v="33"/>
    <x v="9"/>
    <x v="10"/>
    <x v="88"/>
    <n v="763637"/>
    <n v="1083718"/>
    <n v="9.7982999999999993"/>
    <n v="-84.596900000000005"/>
    <n v="23"/>
    <s v="Low"/>
    <m/>
    <m/>
    <n v="0"/>
  </r>
  <r>
    <x v="33"/>
    <x v="9"/>
    <x v="10"/>
    <x v="85"/>
    <n v="763607"/>
    <n v="1083703"/>
    <n v="9.7983499999999992"/>
    <n v="-84.597916999999995"/>
    <n v="20"/>
    <s v="Low"/>
    <d v="2017-12-26T00:00:00"/>
    <d v="2018-03-13T00:00:00"/>
    <n v="78"/>
  </r>
  <r>
    <x v="33"/>
    <x v="9"/>
    <x v="10"/>
    <x v="86"/>
    <n v="763598"/>
    <n v="1083725"/>
    <n v="9.7753169999999994"/>
    <n v="-84.601016999999999"/>
    <n v="13"/>
    <s v="Low"/>
    <m/>
    <m/>
    <n v="0"/>
  </r>
  <r>
    <x v="33"/>
    <x v="9"/>
    <x v="10"/>
    <x v="87"/>
    <n v="763572"/>
    <n v="1083669"/>
    <n v="9.7744499999999999"/>
    <n v="-84.601917"/>
    <n v="21"/>
    <s v="Low"/>
    <m/>
    <m/>
    <n v="0"/>
  </r>
  <r>
    <x v="4"/>
    <x v="9"/>
    <x v="10"/>
    <x v="88"/>
    <n v="763637"/>
    <n v="1083718"/>
    <n v="9.7982999999999993"/>
    <n v="-84.596900000000005"/>
    <n v="22"/>
    <s v="Low"/>
    <d v="2015-01-02T00:00:00"/>
    <d v="2015-01-13T00:00:00"/>
    <n v="12"/>
  </r>
  <r>
    <x v="4"/>
    <x v="9"/>
    <x v="10"/>
    <x v="86"/>
    <n v="763598"/>
    <n v="1083725"/>
    <n v="9.7753169999999994"/>
    <n v="-84.601016999999999"/>
    <n v="62"/>
    <s v="Low"/>
    <d v="2015-02-19T00:00:00"/>
    <d v="2015-03-03T00:00:00"/>
    <n v="13"/>
  </r>
  <r>
    <x v="15"/>
    <x v="9"/>
    <x v="10"/>
    <x v="85"/>
    <n v="763607"/>
    <n v="1083703"/>
    <n v="9.7983499999999992"/>
    <n v="-84.597916999999995"/>
    <n v="28"/>
    <s v="Low"/>
    <d v="2015-06-27T00:00:00"/>
    <d v="2015-08-07T00:00:00"/>
    <n v="42"/>
  </r>
  <r>
    <x v="15"/>
    <x v="9"/>
    <x v="10"/>
    <x v="86"/>
    <n v="763598"/>
    <n v="1083725"/>
    <n v="9.7753169999999994"/>
    <n v="-84.601016999999999"/>
    <n v="62"/>
    <s v="Low"/>
    <d v="2015-06-25T00:00:00"/>
    <d v="2015-08-07T00:00:00"/>
    <n v="44"/>
  </r>
  <r>
    <x v="15"/>
    <x v="9"/>
    <x v="10"/>
    <x v="87"/>
    <n v="763572"/>
    <n v="1083669"/>
    <n v="9.7744499999999999"/>
    <n v="-84.601917"/>
    <n v="64"/>
    <s v="Low"/>
    <d v="2015-06-25T00:00:00"/>
    <d v="2015-07-17T00:00:00"/>
    <n v="23"/>
  </r>
  <r>
    <x v="1"/>
    <x v="10"/>
    <x v="30"/>
    <x v="89"/>
    <n v="786170.4"/>
    <n v="1073353"/>
    <n v="9.7001019999999993"/>
    <n v="-84.392060999999998"/>
    <n v="338"/>
    <s v="Low"/>
    <d v="2014-10-30T00:00:00"/>
    <d v="2014-12-22T00:00:00"/>
    <n v="54"/>
  </r>
  <r>
    <x v="1"/>
    <x v="10"/>
    <x v="30"/>
    <x v="90"/>
    <n v="786886.9"/>
    <n v="1073236"/>
    <n v="9.698995"/>
    <n v="-84.385544530000004"/>
    <n v="445"/>
    <s v="Low"/>
    <d v="2014-10-24T00:00:00"/>
    <d v="2014-12-24T00:00:00"/>
    <n v="62"/>
  </r>
  <r>
    <x v="1"/>
    <x v="10"/>
    <x v="30"/>
    <x v="91"/>
    <n v="787853.9"/>
    <n v="1072469"/>
    <n v="9.6919979999999999"/>
    <n v="-84.376792330000001"/>
    <n v="354"/>
    <s v="Low"/>
    <d v="2014-10-23T00:00:00"/>
    <d v="2014-12-21T00:00:00"/>
    <n v="60"/>
  </r>
  <r>
    <x v="1"/>
    <x v="10"/>
    <x v="30"/>
    <x v="92"/>
    <n v="785199.3"/>
    <n v="1074223"/>
    <n v="9.7080300000000008"/>
    <n v="-84.400844230000004"/>
    <n v="584"/>
    <s v="Low"/>
    <d v="2014-11-02T00:00:00"/>
    <d v="2014-11-19T00:00:00"/>
    <n v="18"/>
  </r>
  <r>
    <x v="13"/>
    <x v="10"/>
    <x v="31"/>
    <x v="89"/>
    <n v="786170.4"/>
    <n v="1073353"/>
    <n v="9.7001019999999993"/>
    <n v="-84.392060999999998"/>
    <n v="338"/>
    <s v="Moderate Low"/>
    <d v="2017-01-01T00:00:00"/>
    <d v="2017-01-29T00:00:00"/>
    <n v="29"/>
  </r>
  <r>
    <x v="13"/>
    <x v="10"/>
    <x v="31"/>
    <x v="89"/>
    <n v="786170.4"/>
    <n v="1073353"/>
    <n v="9.7001019999999993"/>
    <n v="-84.392060999999998"/>
    <n v="338"/>
    <s v="Moderate Low"/>
    <d v="2017-01-29T00:00:00"/>
    <d v="2017-02-27T00:00:00"/>
    <n v="30"/>
  </r>
  <r>
    <x v="13"/>
    <x v="10"/>
    <x v="31"/>
    <x v="89"/>
    <n v="786170.4"/>
    <n v="1073353"/>
    <n v="9.7001019999999993"/>
    <n v="-84.392060999999998"/>
    <n v="338"/>
    <s v="Moderate Low"/>
    <d v="2017-02-27T00:00:00"/>
    <d v="2017-03-30T00:00:00"/>
    <n v="32"/>
  </r>
  <r>
    <x v="13"/>
    <x v="10"/>
    <x v="31"/>
    <x v="89"/>
    <n v="786170.4"/>
    <n v="1073353"/>
    <n v="9.7001019999999993"/>
    <n v="-84.392060999999998"/>
    <n v="338"/>
    <s v="Moderate Low"/>
    <d v="2017-03-31T00:00:00"/>
    <d v="2017-04-29T00:00:00"/>
    <n v="30"/>
  </r>
  <r>
    <x v="34"/>
    <x v="10"/>
    <x v="31"/>
    <x v="89"/>
    <n v="786170.4"/>
    <n v="1073353"/>
    <n v="9.7001019999999993"/>
    <n v="-84.392060999999998"/>
    <n v="338"/>
    <s v="Moderate Low"/>
    <d v="2017-04-29T00:00:00"/>
    <d v="2017-05-29T00:00:00"/>
    <n v="31"/>
  </r>
  <r>
    <x v="34"/>
    <x v="10"/>
    <x v="31"/>
    <x v="89"/>
    <n v="786170.4"/>
    <n v="1073353"/>
    <n v="9.7001019999999993"/>
    <n v="-84.392060999999998"/>
    <n v="338"/>
    <s v="Moderate Low"/>
    <d v="2017-05-31T00:00:00"/>
    <d v="2017-07-03T00:00:00"/>
    <n v="34"/>
  </r>
  <r>
    <x v="34"/>
    <x v="10"/>
    <x v="31"/>
    <x v="89"/>
    <n v="786170.4"/>
    <n v="1073353"/>
    <n v="9.7001019999999993"/>
    <n v="-84.392060999999998"/>
    <n v="338"/>
    <s v="Moderate Low"/>
    <d v="2017-07-03T00:00:00"/>
    <d v="2017-09-08T00:00:00"/>
    <n v="68"/>
  </r>
  <r>
    <x v="34"/>
    <x v="10"/>
    <x v="31"/>
    <x v="89"/>
    <n v="786170.4"/>
    <n v="1073353"/>
    <n v="9.7001019999999993"/>
    <n v="-84.392060999999998"/>
    <n v="338"/>
    <s v="Moderate Low"/>
    <d v="2017-09-08T00:00:00"/>
    <d v="2017-10-08T00:00:00"/>
    <n v="31"/>
  </r>
  <r>
    <x v="34"/>
    <x v="10"/>
    <x v="31"/>
    <x v="89"/>
    <n v="786170.4"/>
    <n v="1073353"/>
    <n v="9.7001019999999993"/>
    <n v="-84.392060999999998"/>
    <n v="338"/>
    <s v="Moderate Low"/>
    <d v="2017-10-08T00:00:00"/>
    <d v="2017-11-03T00:00:00"/>
    <n v="27"/>
  </r>
  <r>
    <x v="34"/>
    <x v="10"/>
    <x v="31"/>
    <x v="89"/>
    <n v="786170.4"/>
    <n v="1073353"/>
    <n v="9.7001019999999993"/>
    <n v="-84.392060999999998"/>
    <n v="338"/>
    <s v="Moderate Low"/>
    <d v="2017-11-27T00:00:00"/>
    <d v="2017-12-26T00:00:00"/>
    <n v="30"/>
  </r>
  <r>
    <x v="34"/>
    <x v="10"/>
    <x v="32"/>
    <x v="90"/>
    <n v="786886.9"/>
    <n v="1073236"/>
    <n v="9.698995"/>
    <n v="-84.385544530000004"/>
    <n v="445"/>
    <s v="High"/>
    <d v="2017-05-31T00:00:00"/>
    <d v="2017-07-03T00:00:00"/>
    <n v="34"/>
  </r>
  <r>
    <x v="13"/>
    <x v="10"/>
    <x v="32"/>
    <x v="90"/>
    <n v="786886.9"/>
    <n v="1073236"/>
    <n v="9.698995"/>
    <n v="-84.385544530000004"/>
    <n v="445"/>
    <s v="High"/>
    <d v="2016-12-29T00:00:00"/>
    <d v="2016-12-29T00:00:00"/>
    <n v="1"/>
  </r>
  <r>
    <x v="13"/>
    <x v="10"/>
    <x v="32"/>
    <x v="90"/>
    <n v="786886.9"/>
    <n v="1073236"/>
    <n v="9.698995"/>
    <n v="-84.385544530000004"/>
    <n v="445"/>
    <s v="High"/>
    <d v="2017-01-29T00:00:00"/>
    <d v="2017-02-27T00:00:00"/>
    <n v="30"/>
  </r>
  <r>
    <x v="13"/>
    <x v="10"/>
    <x v="32"/>
    <x v="90"/>
    <n v="786886.9"/>
    <n v="1073236"/>
    <n v="9.698995"/>
    <n v="-84.385544530000004"/>
    <n v="445"/>
    <s v="High"/>
    <d v="2017-02-27T00:00:00"/>
    <d v="2017-03-30T00:00:00"/>
    <n v="32"/>
  </r>
  <r>
    <x v="13"/>
    <x v="10"/>
    <x v="32"/>
    <x v="90"/>
    <n v="786886.9"/>
    <n v="1073236"/>
    <n v="9.698995"/>
    <n v="-84.385544530000004"/>
    <n v="445"/>
    <s v="High"/>
    <d v="2017-03-31T00:00:00"/>
    <d v="2017-04-29T00:00:00"/>
    <n v="30"/>
  </r>
  <r>
    <x v="35"/>
    <x v="10"/>
    <x v="32"/>
    <x v="90"/>
    <n v="786886.9"/>
    <n v="1073236"/>
    <n v="9.698995"/>
    <n v="-84.385544530000004"/>
    <n v="445"/>
    <s v="High"/>
    <d v="2017-04-29T00:00:00"/>
    <d v="2017-05-31T00:00:00"/>
    <n v="33"/>
  </r>
  <r>
    <x v="34"/>
    <x v="10"/>
    <x v="32"/>
    <x v="90"/>
    <n v="786886.9"/>
    <n v="1073236"/>
    <n v="9.698995"/>
    <n v="-84.385544530000004"/>
    <n v="445"/>
    <s v="High"/>
    <d v="2017-07-04T00:00:00"/>
    <d v="2017-09-08T00:00:00"/>
    <n v="67"/>
  </r>
  <r>
    <x v="34"/>
    <x v="10"/>
    <x v="32"/>
    <x v="90"/>
    <n v="786886.9"/>
    <n v="1073236"/>
    <n v="9.698995"/>
    <n v="-84.385544530000004"/>
    <n v="445"/>
    <s v="High"/>
    <d v="2017-09-08T00:00:00"/>
    <d v="2017-10-08T00:00:00"/>
    <n v="31"/>
  </r>
  <r>
    <x v="34"/>
    <x v="10"/>
    <x v="32"/>
    <x v="90"/>
    <n v="786886.9"/>
    <n v="1073236"/>
    <n v="9.698995"/>
    <n v="-84.385544530000004"/>
    <n v="445"/>
    <s v="High"/>
    <d v="2017-10-08T00:00:00"/>
    <d v="2017-11-03T00:00:00"/>
    <n v="27"/>
  </r>
  <r>
    <x v="34"/>
    <x v="10"/>
    <x v="32"/>
    <x v="90"/>
    <n v="786886.9"/>
    <n v="1073236"/>
    <n v="9.698995"/>
    <n v="-84.385544530000004"/>
    <n v="445"/>
    <s v="High"/>
    <d v="2017-11-27T00:00:00"/>
    <d v="2017-12-22T00:00:00"/>
    <n v="26"/>
  </r>
  <r>
    <x v="35"/>
    <x v="10"/>
    <x v="33"/>
    <x v="91"/>
    <n v="787853.9"/>
    <n v="1072469"/>
    <n v="9.6919979999999999"/>
    <n v="-84.376792330000001"/>
    <n v="354"/>
    <s v="High"/>
    <d v="2016-12-29T00:00:00"/>
    <d v="2017-01-25T00:00:00"/>
    <n v="28"/>
  </r>
  <r>
    <x v="13"/>
    <x v="10"/>
    <x v="33"/>
    <x v="91"/>
    <n v="787853.9"/>
    <n v="1072469"/>
    <n v="9.6919979999999999"/>
    <n v="-84.376792330000001"/>
    <n v="354"/>
    <s v="High"/>
    <d v="2017-01-29T00:00:00"/>
    <d v="2017-02-27T00:00:00"/>
    <n v="30"/>
  </r>
  <r>
    <x v="13"/>
    <x v="10"/>
    <x v="33"/>
    <x v="91"/>
    <n v="787853.9"/>
    <n v="1072469"/>
    <n v="9.6919979999999999"/>
    <n v="-84.376792330000001"/>
    <n v="354"/>
    <s v="High"/>
    <d v="2017-02-27T00:00:00"/>
    <d v="2017-03-30T00:00:00"/>
    <n v="32"/>
  </r>
  <r>
    <x v="13"/>
    <x v="10"/>
    <x v="33"/>
    <x v="91"/>
    <n v="787853.9"/>
    <n v="1072469"/>
    <n v="9.6919979999999999"/>
    <n v="-84.376792330000001"/>
    <n v="354"/>
    <s v="High"/>
    <d v="2017-03-31T00:00:00"/>
    <d v="2017-04-29T00:00:00"/>
    <n v="30"/>
  </r>
  <r>
    <x v="34"/>
    <x v="10"/>
    <x v="33"/>
    <x v="91"/>
    <n v="787853.9"/>
    <n v="1072469"/>
    <n v="9.6919979999999999"/>
    <n v="-84.376792330000001"/>
    <n v="354"/>
    <s v="High"/>
    <d v="2017-04-29T00:00:00"/>
    <d v="2017-05-17T00:00:00"/>
    <n v="19"/>
  </r>
  <r>
    <x v="34"/>
    <x v="10"/>
    <x v="33"/>
    <x v="91"/>
    <n v="787853.9"/>
    <n v="1072469"/>
    <n v="9.6919979999999999"/>
    <n v="-84.376792330000001"/>
    <n v="354"/>
    <s v="High"/>
    <d v="2017-05-31T00:00:00"/>
    <d v="2017-07-03T00:00:00"/>
    <n v="34"/>
  </r>
  <r>
    <x v="34"/>
    <x v="10"/>
    <x v="33"/>
    <x v="91"/>
    <n v="787853.9"/>
    <n v="1072469"/>
    <n v="9.6919979999999999"/>
    <n v="-84.376792330000001"/>
    <n v="354"/>
    <s v="High"/>
    <d v="2017-07-08T00:00:00"/>
    <d v="2017-09-08T00:00:00"/>
    <n v="63"/>
  </r>
  <r>
    <x v="34"/>
    <x v="10"/>
    <x v="33"/>
    <x v="91"/>
    <n v="787853.9"/>
    <n v="1072469"/>
    <n v="9.6919979999999999"/>
    <n v="-84.376792330000001"/>
    <n v="354"/>
    <s v="High"/>
    <d v="2017-09-08T00:00:00"/>
    <d v="2017-10-08T00:00:00"/>
    <n v="31"/>
  </r>
  <r>
    <x v="34"/>
    <x v="10"/>
    <x v="33"/>
    <x v="91"/>
    <n v="787853.9"/>
    <n v="1072469"/>
    <n v="9.6919979999999999"/>
    <n v="-84.376792330000001"/>
    <n v="354"/>
    <s v="High"/>
    <d v="2017-10-08T00:00:00"/>
    <d v="2017-11-03T00:00:00"/>
    <n v="27"/>
  </r>
  <r>
    <x v="34"/>
    <x v="10"/>
    <x v="33"/>
    <x v="91"/>
    <n v="787853.9"/>
    <n v="1072469"/>
    <n v="9.6919979999999999"/>
    <n v="-84.376792330000001"/>
    <n v="354"/>
    <s v="High"/>
    <d v="2017-11-03T00:00:00"/>
    <d v="2017-12-26T00:00:00"/>
    <n v="54"/>
  </r>
  <r>
    <x v="34"/>
    <x v="10"/>
    <x v="34"/>
    <x v="92"/>
    <n v="785199.3"/>
    <n v="1074223"/>
    <n v="9.7080300000000008"/>
    <n v="-84.400844230000004"/>
    <n v="584"/>
    <s v="High"/>
    <d v="2017-07-03T00:00:00"/>
    <d v="2017-09-02T00:00:00"/>
    <n v="0"/>
  </r>
  <r>
    <x v="13"/>
    <x v="10"/>
    <x v="34"/>
    <x v="92"/>
    <n v="785199.3"/>
    <n v="1074223"/>
    <n v="9.7080300000000008"/>
    <n v="-84.400844230000004"/>
    <n v="584"/>
    <s v="High"/>
    <d v="2017-01-29T00:00:00"/>
    <d v="2017-02-27T00:00:00"/>
    <n v="30"/>
  </r>
  <r>
    <x v="13"/>
    <x v="10"/>
    <x v="34"/>
    <x v="92"/>
    <n v="785199.3"/>
    <n v="1074223"/>
    <n v="9.7080300000000008"/>
    <n v="-84.400844230000004"/>
    <n v="584"/>
    <s v="High"/>
    <d v="2017-02-27T00:00:00"/>
    <d v="2017-03-31T00:00:00"/>
    <n v="33"/>
  </r>
  <r>
    <x v="13"/>
    <x v="10"/>
    <x v="34"/>
    <x v="92"/>
    <n v="785199.3"/>
    <n v="1074223"/>
    <n v="9.7080300000000008"/>
    <n v="-84.400844230000004"/>
    <n v="584"/>
    <s v="High"/>
    <d v="2017-03-30T00:00:00"/>
    <d v="2017-04-29T00:00:00"/>
    <n v="31"/>
  </r>
  <r>
    <x v="34"/>
    <x v="10"/>
    <x v="34"/>
    <x v="92"/>
    <n v="785199.3"/>
    <n v="1074223"/>
    <n v="9.7080300000000008"/>
    <n v="-84.400844230000004"/>
    <n v="584"/>
    <s v="High"/>
    <d v="2017-04-29T00:00:00"/>
    <d v="2017-05-31T00:00:00"/>
    <n v="33"/>
  </r>
  <r>
    <x v="34"/>
    <x v="10"/>
    <x v="34"/>
    <x v="92"/>
    <n v="785199.3"/>
    <n v="1074223"/>
    <n v="9.7080300000000008"/>
    <n v="-84.400844230000004"/>
    <n v="584"/>
    <s v="High"/>
    <d v="2017-05-31T00:00:00"/>
    <d v="2017-07-03T00:00:00"/>
    <n v="34"/>
  </r>
  <r>
    <x v="34"/>
    <x v="10"/>
    <x v="34"/>
    <x v="92"/>
    <n v="785199.3"/>
    <n v="1074223"/>
    <n v="9.7080300000000008"/>
    <n v="-84.400844230000004"/>
    <n v="584"/>
    <s v="High"/>
    <d v="2017-07-03T00:00:00"/>
    <d v="2017-09-02T00:00:00"/>
    <n v="62"/>
  </r>
  <r>
    <x v="34"/>
    <x v="10"/>
    <x v="34"/>
    <x v="92"/>
    <n v="785199.3"/>
    <n v="1074223"/>
    <n v="9.7080300000000008"/>
    <n v="-84.400844230000004"/>
    <n v="584"/>
    <s v="High"/>
    <d v="2017-09-08T00:00:00"/>
    <d v="2017-10-08T00:00:00"/>
    <n v="31"/>
  </r>
  <r>
    <x v="34"/>
    <x v="10"/>
    <x v="17"/>
    <x v="93"/>
    <n v="786358.44"/>
    <n v="1074051.42"/>
    <n v="9.7064000000000004"/>
    <n v="-84.390299999999996"/>
    <n v="414"/>
    <s v="Low"/>
    <d v="2017-07-03T00:00:00"/>
    <d v="2017-12-26T00:00:00"/>
    <n v="0"/>
  </r>
  <r>
    <x v="13"/>
    <x v="10"/>
    <x v="35"/>
    <x v="93"/>
    <n v="786358"/>
    <n v="1074051"/>
    <n v="9.7064000000000004"/>
    <n v="-84.390299999999996"/>
    <n v="414"/>
    <s v="Low"/>
    <d v="2017-01-29T00:00:00"/>
    <d v="2017-02-27T00:00:00"/>
    <n v="30"/>
  </r>
  <r>
    <x v="13"/>
    <x v="10"/>
    <x v="35"/>
    <x v="93"/>
    <n v="786358"/>
    <n v="1074051"/>
    <n v="9.7064000000000004"/>
    <n v="-84.390299999999996"/>
    <n v="414"/>
    <s v="Low"/>
    <d v="2017-02-27T00:00:00"/>
    <d v="2017-03-30T00:00:00"/>
    <n v="32"/>
  </r>
  <r>
    <x v="13"/>
    <x v="10"/>
    <x v="35"/>
    <x v="93"/>
    <n v="786358"/>
    <n v="1074051"/>
    <n v="9.7064000000000004"/>
    <n v="-84.390299999999996"/>
    <n v="414"/>
    <s v="Low"/>
    <d v="2017-03-31T00:00:00"/>
    <d v="2017-04-27T00:00:00"/>
    <n v="28"/>
  </r>
  <r>
    <x v="34"/>
    <x v="10"/>
    <x v="35"/>
    <x v="93"/>
    <n v="786358"/>
    <n v="1074051"/>
    <n v="9.7064000000000004"/>
    <n v="-84.390299999999996"/>
    <n v="414"/>
    <s v="Low"/>
    <d v="2017-04-29T00:00:00"/>
    <d v="2017-05-31T00:00:00"/>
    <n v="33"/>
  </r>
  <r>
    <x v="34"/>
    <x v="10"/>
    <x v="35"/>
    <x v="93"/>
    <n v="786358"/>
    <n v="1074051"/>
    <n v="9.7064000000000004"/>
    <n v="-84.390299999999996"/>
    <n v="414"/>
    <s v="Low"/>
    <d v="2017-05-31T00:00:00"/>
    <d v="2017-07-03T00:00:00"/>
    <n v="34"/>
  </r>
  <r>
    <x v="34"/>
    <x v="10"/>
    <x v="35"/>
    <x v="93"/>
    <n v="786358"/>
    <n v="1074051"/>
    <n v="9.7064000000000004"/>
    <n v="-84.390299999999996"/>
    <n v="414"/>
    <s v="Low"/>
    <d v="2017-07-03T00:00:00"/>
    <d v="2017-09-08T00:00:00"/>
    <n v="68"/>
  </r>
  <r>
    <x v="34"/>
    <x v="10"/>
    <x v="35"/>
    <x v="93"/>
    <n v="786358"/>
    <n v="1074051"/>
    <n v="9.7064000000000004"/>
    <n v="-84.390299999999996"/>
    <n v="414"/>
    <s v="Low"/>
    <d v="2017-09-17T00:00:00"/>
    <d v="2017-09-29T00:00:00"/>
    <n v="13"/>
  </r>
  <r>
    <x v="35"/>
    <x v="10"/>
    <x v="35"/>
    <x v="93"/>
    <n v="786358"/>
    <n v="1074051"/>
    <n v="9.7064000000000004"/>
    <n v="-84.390299999999996"/>
    <n v="414"/>
    <s v="Low"/>
    <d v="2017-10-08T00:00:00"/>
    <d v="2017-11-03T00:00:00"/>
    <n v="27"/>
  </r>
  <r>
    <x v="35"/>
    <x v="10"/>
    <x v="35"/>
    <x v="93"/>
    <n v="786358"/>
    <n v="1074051"/>
    <n v="9.7064000000000004"/>
    <n v="-84.390299999999996"/>
    <n v="414"/>
    <s v="Low"/>
    <d v="2017-11-03T00:00:00"/>
    <d v="2017-12-26T00:00:00"/>
    <n v="54"/>
  </r>
  <r>
    <x v="34"/>
    <x v="10"/>
    <x v="31"/>
    <x v="89"/>
    <n v="786170.4"/>
    <n v="1073353"/>
    <n v="9.7001019999999993"/>
    <n v="-84.392060999999998"/>
    <n v="338"/>
    <s v="Moderate Low"/>
    <d v="2017-12-28T00:00:00"/>
    <d v="2018-02-03T00:00:00"/>
    <n v="38"/>
  </r>
  <r>
    <x v="36"/>
    <x v="10"/>
    <x v="31"/>
    <x v="89"/>
    <n v="786170.4"/>
    <n v="1073353"/>
    <n v="9.7001019999999993"/>
    <n v="-84.392060999999998"/>
    <n v="338"/>
    <s v="Moderate Low"/>
    <d v="2018-02-03T00:00:00"/>
    <d v="2018-04-05T00:00:00"/>
    <n v="62"/>
  </r>
  <r>
    <x v="36"/>
    <x v="10"/>
    <x v="31"/>
    <x v="89"/>
    <n v="786170.4"/>
    <n v="1073353"/>
    <n v="9.7001019999999993"/>
    <n v="-84.392060999999998"/>
    <n v="338"/>
    <s v="Moderate Low"/>
    <d v="2018-04-05T00:00:00"/>
    <d v="2018-04-13T00:00:00"/>
    <n v="9"/>
  </r>
  <r>
    <x v="36"/>
    <x v="10"/>
    <x v="31"/>
    <x v="89"/>
    <n v="786170.4"/>
    <n v="1073353"/>
    <n v="9.7001019999999993"/>
    <n v="-84.392060999999998"/>
    <n v="338"/>
    <s v="Moderate Low"/>
    <d v="2018-05-23T00:00:00"/>
    <d v="2018-07-07T00:00:00"/>
    <n v="46"/>
  </r>
  <r>
    <x v="36"/>
    <x v="10"/>
    <x v="31"/>
    <x v="89"/>
    <n v="786170.4"/>
    <n v="1073353"/>
    <n v="9.7001019999999993"/>
    <n v="-84.392060999999998"/>
    <n v="338"/>
    <s v="Moderate Low"/>
    <d v="2018-07-07T00:00:00"/>
    <d v="2018-08-07T00:00:00"/>
    <n v="32"/>
  </r>
  <r>
    <x v="36"/>
    <x v="10"/>
    <x v="31"/>
    <x v="89"/>
    <n v="786170.4"/>
    <n v="1073353"/>
    <n v="9.7001019999999993"/>
    <n v="-84.392060999999998"/>
    <n v="338"/>
    <s v="Moderate Low"/>
    <d v="2018-09-08T00:00:00"/>
    <d v="2018-09-29T00:00:00"/>
    <n v="22"/>
  </r>
  <r>
    <x v="36"/>
    <x v="10"/>
    <x v="31"/>
    <x v="89"/>
    <n v="786170.4"/>
    <n v="1073353"/>
    <n v="9.7001019999999993"/>
    <n v="-84.392060999999998"/>
    <n v="338"/>
    <s v="Moderate Low"/>
    <d v="2018-10-20T00:00:00"/>
    <d v="2018-12-30T00:00:00"/>
    <n v="72"/>
  </r>
  <r>
    <x v="36"/>
    <x v="10"/>
    <x v="32"/>
    <x v="90"/>
    <n v="786886.9"/>
    <n v="1073236"/>
    <n v="9.698995"/>
    <n v="-84.385544530000004"/>
    <n v="445"/>
    <s v="High"/>
    <d v="2017-12-30T00:00:00"/>
    <d v="2018-01-06T00:00:00"/>
    <n v="8"/>
  </r>
  <r>
    <x v="36"/>
    <x v="10"/>
    <x v="32"/>
    <x v="90"/>
    <n v="786886.9"/>
    <n v="1073236"/>
    <n v="9.698995"/>
    <n v="-84.385544530000004"/>
    <n v="445"/>
    <s v="High"/>
    <d v="2018-02-03T00:00:00"/>
    <d v="2018-04-04T00:00:00"/>
    <n v="61"/>
  </r>
  <r>
    <x v="36"/>
    <x v="10"/>
    <x v="32"/>
    <x v="90"/>
    <n v="786886.9"/>
    <n v="1073236"/>
    <n v="9.698995"/>
    <n v="-84.385544530000004"/>
    <n v="445"/>
    <s v="High"/>
    <d v="2018-05-20T00:00:00"/>
    <d v="2018-07-07T00:00:00"/>
    <n v="49"/>
  </r>
  <r>
    <x v="36"/>
    <x v="10"/>
    <x v="32"/>
    <x v="90"/>
    <n v="786886.9"/>
    <n v="1073236"/>
    <n v="9.698995"/>
    <n v="-84.385544530000004"/>
    <n v="445"/>
    <s v="High"/>
    <d v="2018-07-07T00:00:00"/>
    <d v="2018-08-06T00:00:00"/>
    <n v="31"/>
  </r>
  <r>
    <x v="36"/>
    <x v="10"/>
    <x v="32"/>
    <x v="90"/>
    <n v="786886.9"/>
    <n v="1073236"/>
    <n v="9.698995"/>
    <n v="-84.385544530000004"/>
    <n v="445"/>
    <s v="High"/>
    <d v="2018-08-06T00:00:00"/>
    <d v="2018-09-06T00:00:00"/>
    <n v="32"/>
  </r>
  <r>
    <x v="36"/>
    <x v="10"/>
    <x v="32"/>
    <x v="90"/>
    <n v="786886.9"/>
    <n v="1073236"/>
    <n v="9.698995"/>
    <n v="-84.385544530000004"/>
    <n v="445"/>
    <s v="High"/>
    <d v="2018-09-06T00:00:00"/>
    <d v="2018-10-16T00:00:00"/>
    <n v="41"/>
  </r>
  <r>
    <x v="36"/>
    <x v="10"/>
    <x v="32"/>
    <x v="90"/>
    <n v="786886.9"/>
    <n v="1073236"/>
    <n v="9.698995"/>
    <n v="-84.385544530000004"/>
    <n v="445"/>
    <s v="High"/>
    <d v="2018-10-16T00:00:00"/>
    <d v="2018-12-31T00:00:00"/>
    <n v="77"/>
  </r>
  <r>
    <x v="36"/>
    <x v="10"/>
    <x v="33"/>
    <x v="91"/>
    <n v="787853.9"/>
    <n v="1072469"/>
    <n v="9.6919979999999999"/>
    <n v="-84.376792330000001"/>
    <n v="354"/>
    <s v="High"/>
    <d v="2018-02-03T00:00:00"/>
    <d v="2018-04-04T00:00:00"/>
    <n v="61"/>
  </r>
  <r>
    <x v="36"/>
    <x v="10"/>
    <x v="33"/>
    <x v="91"/>
    <n v="787853.9"/>
    <n v="1072469"/>
    <n v="9.6919979999999999"/>
    <n v="-84.376792330000001"/>
    <n v="354"/>
    <s v="High"/>
    <d v="2018-05-20T00:00:00"/>
    <d v="2018-07-07T00:00:00"/>
    <n v="49"/>
  </r>
  <r>
    <x v="36"/>
    <x v="10"/>
    <x v="33"/>
    <x v="91"/>
    <n v="787853.9"/>
    <n v="1072469"/>
    <n v="9.6919979999999999"/>
    <n v="-84.376792330000001"/>
    <n v="354"/>
    <s v="High"/>
    <d v="2018-09-06T00:00:00"/>
    <d v="2018-10-16T00:00:00"/>
    <n v="41"/>
  </r>
  <r>
    <x v="36"/>
    <x v="10"/>
    <x v="34"/>
    <x v="92"/>
    <n v="785199.3"/>
    <n v="1074223"/>
    <n v="9.7080300000000008"/>
    <n v="-84.400844230000004"/>
    <n v="584"/>
    <s v="High"/>
    <d v="2018-01-03T00:00:00"/>
    <d v="2018-02-03T00:00:00"/>
    <n v="32"/>
  </r>
  <r>
    <x v="36"/>
    <x v="10"/>
    <x v="34"/>
    <x v="92"/>
    <n v="785199.3"/>
    <n v="1074223"/>
    <n v="9.7080300000000008"/>
    <n v="-84.400844230000004"/>
    <n v="584"/>
    <s v="High"/>
    <d v="2018-02-03T00:00:00"/>
    <d v="2018-04-04T00:00:00"/>
    <n v="61"/>
  </r>
  <r>
    <x v="36"/>
    <x v="10"/>
    <x v="34"/>
    <x v="92"/>
    <n v="785199.3"/>
    <n v="1074223"/>
    <n v="9.7080300000000008"/>
    <n v="-84.400844230000004"/>
    <n v="584"/>
    <s v="High"/>
    <d v="2018-05-23T00:00:00"/>
    <d v="2018-07-07T00:00:00"/>
    <n v="46"/>
  </r>
  <r>
    <x v="36"/>
    <x v="10"/>
    <x v="34"/>
    <x v="92"/>
    <n v="785199.3"/>
    <n v="1074223"/>
    <n v="9.7080300000000008"/>
    <n v="-84.400844230000004"/>
    <n v="584"/>
    <s v="High"/>
    <d v="2018-07-07T00:00:00"/>
    <d v="2018-09-06T00:00:00"/>
    <n v="62"/>
  </r>
  <r>
    <x v="36"/>
    <x v="10"/>
    <x v="35"/>
    <x v="93"/>
    <n v="786358"/>
    <n v="1074051"/>
    <n v="9.7064000000000004"/>
    <n v="-84.390299999999996"/>
    <n v="414"/>
    <s v="Low"/>
    <d v="2018-02-04T00:00:00"/>
    <d v="2018-03-05T00:00:00"/>
    <n v="30"/>
  </r>
  <r>
    <x v="36"/>
    <x v="10"/>
    <x v="35"/>
    <x v="93"/>
    <n v="786358"/>
    <n v="1074051"/>
    <n v="9.7064000000000004"/>
    <n v="-84.390299999999996"/>
    <n v="414"/>
    <s v="Low"/>
    <d v="2018-04-04T00:00:00"/>
    <d v="2018-05-20T00:00:00"/>
    <n v="47"/>
  </r>
  <r>
    <x v="36"/>
    <x v="10"/>
    <x v="35"/>
    <x v="93"/>
    <n v="786358"/>
    <n v="1074051"/>
    <n v="9.7064000000000004"/>
    <n v="-84.390299999999996"/>
    <n v="414"/>
    <s v="Low"/>
    <d v="2018-05-20T00:00:00"/>
    <d v="2018-07-07T00:00:00"/>
    <n v="49"/>
  </r>
  <r>
    <x v="36"/>
    <x v="10"/>
    <x v="35"/>
    <x v="93"/>
    <n v="786358"/>
    <n v="1074051"/>
    <n v="9.7064000000000004"/>
    <n v="-84.390299999999996"/>
    <n v="414"/>
    <s v="Low"/>
    <d v="2018-07-07T00:00:00"/>
    <d v="2018-09-06T00:00:00"/>
    <n v="62"/>
  </r>
  <r>
    <x v="36"/>
    <x v="10"/>
    <x v="35"/>
    <x v="93"/>
    <n v="786358"/>
    <n v="1074051"/>
    <n v="9.7064000000000004"/>
    <n v="-84.390299999999996"/>
    <n v="414"/>
    <s v="Low"/>
    <d v="2018-09-06T00:00:00"/>
    <d v="2018-10-16T00:00:00"/>
    <n v="41"/>
  </r>
  <r>
    <x v="37"/>
    <x v="10"/>
    <x v="31"/>
    <x v="89"/>
    <n v="786170.4"/>
    <n v="1073353"/>
    <n v="9.7001019999999993"/>
    <n v="-84.392060999999998"/>
    <n v="338"/>
    <s v="Moderate Low"/>
    <d v="2019-01-02T00:00:00"/>
    <d v="2019-01-29T00:00:00"/>
    <n v="28"/>
  </r>
  <r>
    <x v="37"/>
    <x v="10"/>
    <x v="31"/>
    <x v="89"/>
    <n v="786170.4"/>
    <n v="1073353"/>
    <n v="9.7001019999999993"/>
    <n v="-84.392060999999998"/>
    <n v="338"/>
    <s v="Moderate Low"/>
    <d v="2019-01-29T00:00:00"/>
    <d v="2019-02-16T00:00:00"/>
    <n v="19"/>
  </r>
  <r>
    <x v="37"/>
    <x v="10"/>
    <x v="31"/>
    <x v="89"/>
    <n v="786170.4"/>
    <n v="1073353"/>
    <n v="9.7001019999999993"/>
    <n v="-84.392060999999998"/>
    <n v="338"/>
    <s v="Moderate Low"/>
    <d v="2019-02-17T00:00:00"/>
    <d v="2019-03-12T00:00:00"/>
    <n v="24"/>
  </r>
  <r>
    <x v="37"/>
    <x v="10"/>
    <x v="31"/>
    <x v="89"/>
    <n v="786170.4"/>
    <n v="1073353"/>
    <n v="9.7001019999999993"/>
    <n v="-84.392060999999998"/>
    <n v="338"/>
    <s v="Moderate Low"/>
    <d v="2019-03-13T00:00:00"/>
    <d v="2019-04-21T00:00:00"/>
    <n v="40"/>
  </r>
  <r>
    <x v="37"/>
    <x v="10"/>
    <x v="31"/>
    <x v="89"/>
    <n v="786170.4"/>
    <n v="1073353"/>
    <n v="9.7001019999999993"/>
    <n v="-84.392060999999998"/>
    <n v="338"/>
    <s v="Moderate Low"/>
    <d v="2019-04-21T00:00:00"/>
    <d v="2019-05-30T00:00:00"/>
    <n v="40"/>
  </r>
  <r>
    <x v="37"/>
    <x v="10"/>
    <x v="32"/>
    <x v="90"/>
    <n v="786886.9"/>
    <n v="1073236"/>
    <n v="9.698995"/>
    <n v="-84.385544530000004"/>
    <n v="445"/>
    <s v="High"/>
    <d v="2019-01-01T00:00:00"/>
    <d v="2019-01-13T00:00:00"/>
    <n v="13"/>
  </r>
  <r>
    <x v="37"/>
    <x v="10"/>
    <x v="32"/>
    <x v="90"/>
    <n v="786886.9"/>
    <n v="1073236"/>
    <n v="9.698995"/>
    <n v="-84.385544530000004"/>
    <n v="445"/>
    <s v="High"/>
    <d v="2019-01-13T00:00:00"/>
    <d v="2019-02-16T00:00:00"/>
    <n v="35"/>
  </r>
  <r>
    <x v="37"/>
    <x v="10"/>
    <x v="32"/>
    <x v="90"/>
    <n v="786886.9"/>
    <n v="1073236"/>
    <n v="9.698995"/>
    <n v="-84.385544530000004"/>
    <n v="445"/>
    <s v="High"/>
    <d v="2019-02-16T00:00:00"/>
    <d v="2019-03-13T00:00:00"/>
    <n v="26"/>
  </r>
  <r>
    <x v="37"/>
    <x v="10"/>
    <x v="32"/>
    <x v="90"/>
    <n v="786886.9"/>
    <n v="1073236"/>
    <n v="9.698995"/>
    <n v="-84.385544530000004"/>
    <n v="445"/>
    <s v="High"/>
    <d v="2019-04-19T00:00:00"/>
    <d v="2019-04-22T00:00:00"/>
    <n v="4"/>
  </r>
  <r>
    <x v="37"/>
    <x v="10"/>
    <x v="33"/>
    <x v="91"/>
    <n v="787853.9"/>
    <n v="1072469"/>
    <n v="9.6919979999999999"/>
    <n v="-84.376792330000001"/>
    <n v="354"/>
    <s v="High"/>
    <d v="2019-01-01T00:00:00"/>
    <d v="2019-01-13T00:00:00"/>
    <n v="13"/>
  </r>
  <r>
    <x v="37"/>
    <x v="10"/>
    <x v="33"/>
    <x v="91"/>
    <n v="787853.9"/>
    <n v="1072469"/>
    <n v="9.6919979999999999"/>
    <n v="-84.376792330000001"/>
    <n v="354"/>
    <s v="High"/>
    <d v="2019-01-13T00:00:00"/>
    <d v="2019-02-16T00:00:00"/>
    <n v="35"/>
  </r>
  <r>
    <x v="37"/>
    <x v="10"/>
    <x v="33"/>
    <x v="91"/>
    <n v="787853.9"/>
    <n v="1072469"/>
    <n v="9.6919979999999999"/>
    <n v="-84.376792330000001"/>
    <n v="354"/>
    <s v="High"/>
    <d v="2019-02-16T00:00:00"/>
    <d v="2019-03-13T00:00:00"/>
    <n v="26"/>
  </r>
  <r>
    <x v="37"/>
    <x v="10"/>
    <x v="33"/>
    <x v="91"/>
    <n v="787853.9"/>
    <n v="1072469"/>
    <n v="9.6919979999999999"/>
    <n v="-84.376792330000001"/>
    <n v="354"/>
    <s v="High"/>
    <d v="2019-03-13T00:00:00"/>
    <d v="2019-04-19T00:00:00"/>
    <n v="38"/>
  </r>
  <r>
    <x v="37"/>
    <x v="10"/>
    <x v="33"/>
    <x v="91"/>
    <n v="787853.9"/>
    <n v="1072469"/>
    <n v="9.6919979999999999"/>
    <n v="-84.376792330000001"/>
    <n v="354"/>
    <s v="High"/>
    <d v="2019-04-19T00:00:00"/>
    <d v="2019-05-28T00:00:00"/>
    <n v="40"/>
  </r>
  <r>
    <x v="37"/>
    <x v="10"/>
    <x v="34"/>
    <x v="92"/>
    <n v="785199.3"/>
    <n v="1074223"/>
    <n v="9.7080300000000008"/>
    <n v="-84.400844230000004"/>
    <n v="584"/>
    <s v="High"/>
    <d v="2019-01-01T00:00:00"/>
    <d v="2019-01-13T00:00:00"/>
    <n v="13"/>
  </r>
  <r>
    <x v="37"/>
    <x v="10"/>
    <x v="34"/>
    <x v="92"/>
    <n v="785199.3"/>
    <n v="1074223"/>
    <n v="9.7080300000000008"/>
    <n v="-84.400844230000004"/>
    <n v="584"/>
    <s v="High"/>
    <d v="2019-03-13T00:00:00"/>
    <d v="2019-04-19T00:00:00"/>
    <n v="38"/>
  </r>
  <r>
    <x v="37"/>
    <x v="10"/>
    <x v="34"/>
    <x v="92"/>
    <n v="785199.3"/>
    <n v="1074223"/>
    <n v="9.7080300000000008"/>
    <n v="-84.400844230000004"/>
    <n v="584"/>
    <s v="High"/>
    <d v="2019-04-19T00:00:00"/>
    <d v="2019-05-22T00:00:00"/>
    <n v="34"/>
  </r>
  <r>
    <x v="37"/>
    <x v="10"/>
    <x v="35"/>
    <x v="93"/>
    <n v="786358"/>
    <n v="1074051"/>
    <n v="9.7064000000000004"/>
    <n v="-84.390299999999996"/>
    <n v="414"/>
    <s v="Low"/>
    <d v="2019-04-19T00:00:00"/>
    <d v="2019-05-28T00:00:00"/>
    <n v="40"/>
  </r>
  <r>
    <x v="37"/>
    <x v="10"/>
    <x v="31"/>
    <x v="89"/>
    <n v="786170.4"/>
    <n v="1073353"/>
    <n v="9.7001019999999993"/>
    <n v="-84.392060999999998"/>
    <n v="338"/>
    <s v="Moderate Low"/>
    <m/>
    <m/>
    <n v="0"/>
  </r>
  <r>
    <x v="37"/>
    <x v="10"/>
    <x v="32"/>
    <x v="90"/>
    <n v="786886.9"/>
    <n v="1073236"/>
    <n v="9.698995"/>
    <n v="-84.385544530000004"/>
    <n v="445"/>
    <s v="High"/>
    <m/>
    <m/>
    <n v="0"/>
  </r>
  <r>
    <x v="37"/>
    <x v="10"/>
    <x v="33"/>
    <x v="91"/>
    <n v="787853.9"/>
    <n v="1072469"/>
    <n v="9.6919979999999999"/>
    <n v="-84.376792330000001"/>
    <n v="354"/>
    <s v="High"/>
    <m/>
    <m/>
    <n v="0"/>
  </r>
  <r>
    <x v="37"/>
    <x v="10"/>
    <x v="33"/>
    <x v="91"/>
    <n v="787853.9"/>
    <n v="1072469"/>
    <n v="9.6919979999999999"/>
    <n v="-84.376792330000001"/>
    <n v="354"/>
    <s v="High"/>
    <m/>
    <m/>
    <n v="0"/>
  </r>
  <r>
    <x v="37"/>
    <x v="10"/>
    <x v="34"/>
    <x v="92"/>
    <n v="785199.3"/>
    <n v="1074223"/>
    <n v="9.7080300000000008"/>
    <n v="-84.400844230000004"/>
    <n v="584"/>
    <s v="High"/>
    <m/>
    <m/>
    <n v="0"/>
  </r>
  <r>
    <x v="37"/>
    <x v="10"/>
    <x v="35"/>
    <x v="93"/>
    <n v="786358"/>
    <n v="1074051"/>
    <n v="9.7064000000000004"/>
    <n v="-84.390299999999996"/>
    <n v="414"/>
    <s v="Low"/>
    <m/>
    <m/>
    <n v="0"/>
  </r>
  <r>
    <x v="4"/>
    <x v="10"/>
    <x v="32"/>
    <x v="90"/>
    <n v="786887"/>
    <n v="1073236"/>
    <n v="9.698995"/>
    <n v="-84.385544999999993"/>
    <n v="445"/>
    <s v="Low"/>
    <d v="2014-12-25T00:00:00"/>
    <d v="2015-02-24T00:00:00"/>
    <n v="62"/>
  </r>
  <r>
    <x v="4"/>
    <x v="10"/>
    <x v="31"/>
    <x v="89"/>
    <n v="786170"/>
    <n v="1073353"/>
    <n v="9.7001019999999993"/>
    <n v="-84.392060999999998"/>
    <n v="338"/>
    <s v="Low"/>
    <d v="2015-01-28T00:00:00"/>
    <d v="2015-02-21T00:00:00"/>
    <n v="25"/>
  </r>
  <r>
    <x v="4"/>
    <x v="10"/>
    <x v="33"/>
    <x v="91"/>
    <n v="787854"/>
    <n v="1072469"/>
    <n v="9.6919979999999999"/>
    <n v="-84.376791999999995"/>
    <n v="354"/>
    <s v="Low"/>
    <d v="2015-01-24T00:00:00"/>
    <d v="2015-04-21T00:00:00"/>
    <n v="88"/>
  </r>
  <r>
    <x v="4"/>
    <x v="10"/>
    <x v="34"/>
    <x v="92"/>
    <n v="785199"/>
    <n v="1074223"/>
    <n v="9.7080300000000008"/>
    <n v="-84.400844000000006"/>
    <n v="584"/>
    <s v="Low"/>
    <d v="2015-01-27T00:00:00"/>
    <d v="2015-04-25T00:00:00"/>
    <n v="89"/>
  </r>
  <r>
    <x v="34"/>
    <x v="10"/>
    <x v="33"/>
    <x v="91"/>
    <n v="787853.9"/>
    <n v="1072469"/>
    <n v="9.6919979999999999"/>
    <n v="-84.376792330000001"/>
    <n v="354"/>
    <s v="Low"/>
    <d v="2017-05-31T00:00:00"/>
    <d v="2017-07-03T00:00:00"/>
    <n v="0"/>
  </r>
  <r>
    <x v="36"/>
    <x v="10"/>
    <x v="32"/>
    <x v="90"/>
    <n v="786886.9"/>
    <n v="1073236"/>
    <n v="9.698995"/>
    <n v="-84.385544530000004"/>
    <n v="445"/>
    <s v="High"/>
    <d v="2018-04-04T00:00:00"/>
    <d v="2018-05-20T00:00:00"/>
    <n v="47"/>
  </r>
  <r>
    <x v="12"/>
    <x v="10"/>
    <x v="31"/>
    <x v="89"/>
    <n v="786170.4"/>
    <n v="1073353"/>
    <n v="9.7001019999999993"/>
    <n v="-84.392060999999998"/>
    <n v="338"/>
    <s v="Moderate Low"/>
    <d v="2015-12-30T00:00:00"/>
    <d v="2016-06-10T00:00:00"/>
    <n v="164"/>
  </r>
  <r>
    <x v="12"/>
    <x v="10"/>
    <x v="32"/>
    <x v="90"/>
    <n v="786886.9"/>
    <n v="1073236"/>
    <n v="9.698995"/>
    <n v="-84.385544530000004"/>
    <n v="445"/>
    <s v="High"/>
    <d v="2015-12-19T00:00:00"/>
    <d v="2016-05-11T00:00:00"/>
    <n v="145"/>
  </r>
  <r>
    <x v="12"/>
    <x v="10"/>
    <x v="33"/>
    <x v="91"/>
    <n v="787853.9"/>
    <n v="1072469"/>
    <n v="9.6919979999999999"/>
    <n v="-84.376792330000001"/>
    <n v="354"/>
    <s v="High"/>
    <d v="2015-12-20T00:00:00"/>
    <d v="2016-07-04T00:00:00"/>
    <n v="198"/>
  </r>
  <r>
    <x v="12"/>
    <x v="10"/>
    <x v="34"/>
    <x v="92"/>
    <n v="785199.3"/>
    <n v="1074223"/>
    <n v="9.7080300000000008"/>
    <n v="-84.400844230000004"/>
    <n v="584"/>
    <s v="High"/>
    <d v="2015-12-21T00:00:00"/>
    <d v="2016-02-26T00:00:00"/>
    <n v="68"/>
  </r>
  <r>
    <x v="16"/>
    <x v="10"/>
    <x v="31"/>
    <x v="89"/>
    <n v="786170.4"/>
    <n v="1073353"/>
    <n v="9.7001019999999993"/>
    <n v="-84.392060999999998"/>
    <n v="338"/>
    <s v="Moderate Low"/>
    <d v="2016-06-10T00:00:00"/>
    <d v="2016-10-12T00:00:00"/>
    <n v="125"/>
  </r>
  <r>
    <x v="16"/>
    <x v="10"/>
    <x v="32"/>
    <x v="90"/>
    <n v="786886.9"/>
    <n v="1073236"/>
    <n v="9.698995"/>
    <n v="-84.385544530000004"/>
    <n v="445"/>
    <s v="High"/>
    <d v="2016-05-11T00:00:00"/>
    <d v="2016-08-17T00:00:00"/>
    <n v="99"/>
  </r>
  <r>
    <x v="16"/>
    <x v="10"/>
    <x v="33"/>
    <x v="91"/>
    <n v="787853.9"/>
    <n v="1072469"/>
    <n v="9.6919979999999999"/>
    <n v="-84.376792330000001"/>
    <n v="354"/>
    <s v="High"/>
    <d v="2016-08-08T00:00:00"/>
    <d v="2016-10-08T00:00:00"/>
    <n v="62"/>
  </r>
  <r>
    <x v="16"/>
    <x v="10"/>
    <x v="34"/>
    <x v="92"/>
    <n v="785199.3"/>
    <n v="1074223"/>
    <n v="9.7080300000000008"/>
    <n v="-84.400844230000004"/>
    <n v="584"/>
    <s v="High"/>
    <d v="2016-06-13T00:00:00"/>
    <d v="2016-07-30T00:00:00"/>
    <n v="48"/>
  </r>
  <r>
    <x v="16"/>
    <x v="10"/>
    <x v="35"/>
    <x v="93"/>
    <n v="786358"/>
    <n v="1074051"/>
    <n v="9.7064000000000004"/>
    <n v="-84.390299999999996"/>
    <n v="414"/>
    <s v="Low"/>
    <d v="2016-08-14T00:00:00"/>
    <d v="2016-09-10T00:00:00"/>
    <n v="28"/>
  </r>
  <r>
    <x v="12"/>
    <x v="11"/>
    <x v="36"/>
    <x v="94"/>
    <n v="191651"/>
    <n v="1057356"/>
    <n v="9.5540000000000003"/>
    <n v="-83.808700000000002"/>
    <n v="2291"/>
    <s v="Low"/>
    <d v="2016-01-17T00:00:00"/>
    <d v="2016-02-26T00:00:00"/>
    <n v="41"/>
  </r>
  <r>
    <x v="12"/>
    <x v="11"/>
    <x v="36"/>
    <x v="95"/>
    <n v="191672"/>
    <n v="1057312"/>
    <n v="9.5535999999999994"/>
    <n v="-83.808499999999995"/>
    <n v="2291"/>
    <s v="Low"/>
    <d v="2016-01-17T00:00:00"/>
    <d v="2016-02-26T00:00:00"/>
    <n v="41"/>
  </r>
  <r>
    <x v="12"/>
    <x v="11"/>
    <x v="36"/>
    <x v="96"/>
    <n v="191684"/>
    <n v="1057356"/>
    <n v="9.5540000000000003"/>
    <n v="-83.808400000000006"/>
    <n v="2287"/>
    <s v="Low"/>
    <d v="2016-01-17T00:00:00"/>
    <d v="2016-02-26T00:00:00"/>
    <n v="41"/>
  </r>
  <r>
    <x v="12"/>
    <x v="11"/>
    <x v="36"/>
    <x v="97"/>
    <n v="191672"/>
    <n v="1057312"/>
    <n v="9.5535999999999994"/>
    <n v="-83.808499999999995"/>
    <n v="2292"/>
    <s v="Low"/>
    <d v="2016-01-17T00:00:00"/>
    <d v="2016-02-26T00:00:00"/>
    <n v="41"/>
  </r>
  <r>
    <x v="12"/>
    <x v="11"/>
    <x v="36"/>
    <x v="98"/>
    <n v="191694"/>
    <n v="1057323"/>
    <n v="9.5536999999999992"/>
    <n v="-83.808300000000003"/>
    <n v="2285"/>
    <s v="Low"/>
    <d v="2016-01-17T00:00:00"/>
    <d v="2016-02-26T00:00:00"/>
    <n v="41"/>
  </r>
  <r>
    <x v="38"/>
    <x v="11"/>
    <x v="37"/>
    <x v="99"/>
    <n v="186688"/>
    <n v="1064617"/>
    <n v="9.6193299999999997"/>
    <n v="-83.854519999999994"/>
    <n v="3166"/>
    <s v="Low"/>
    <d v="2011-12-04T00:00:00"/>
    <d v="2012-02-14T00:00:00"/>
    <n v="73"/>
  </r>
  <r>
    <x v="7"/>
    <x v="11"/>
    <x v="37"/>
    <x v="99"/>
    <n v="186688"/>
    <n v="1064617"/>
    <n v="9.6193329999999992"/>
    <n v="-83.854517000000001"/>
    <n v="3166"/>
    <s v="Low"/>
    <d v="2012-08-22T00:00:00"/>
    <d v="2012-12-24T00:00:00"/>
    <n v="125"/>
  </r>
  <r>
    <x v="18"/>
    <x v="11"/>
    <x v="37"/>
    <x v="99"/>
    <n v="186677"/>
    <n v="1064630"/>
    <n v="9.6193329999999992"/>
    <n v="-83.854517000000001"/>
    <n v="3136"/>
    <s v="Low"/>
    <d v="2016-07-01T00:00:00"/>
    <d v="2016-10-21T00:00:00"/>
    <n v="69"/>
  </r>
  <r>
    <x v="11"/>
    <x v="11"/>
    <x v="37"/>
    <x v="99"/>
    <n v="186677"/>
    <n v="1064630"/>
    <n v="9.6193329999999992"/>
    <n v="-83.854517000000001"/>
    <n v="3136"/>
    <s v="Low"/>
    <d v="2017-06-06T00:00:00"/>
    <d v="2017-09-05T00:00:00"/>
    <n v="92"/>
  </r>
  <r>
    <x v="39"/>
    <x v="11"/>
    <x v="37"/>
    <x v="99"/>
    <n v="186688"/>
    <n v="1064617"/>
    <n v="9.6193329999999992"/>
    <n v="-83.854517000000001"/>
    <n v="3166"/>
    <s v="Low"/>
    <m/>
    <m/>
    <n v="0"/>
  </r>
  <r>
    <x v="2"/>
    <x v="11"/>
    <x v="37"/>
    <x v="99"/>
    <n v="186688"/>
    <n v="1064617"/>
    <n v="9.6193329999999992"/>
    <n v="-83.854517000000001"/>
    <n v="3166"/>
    <s v="Low"/>
    <d v="2013-01-25T00:00:00"/>
    <d v="2013-05-18T00:00:00"/>
    <n v="114"/>
  </r>
  <r>
    <x v="3"/>
    <x v="11"/>
    <x v="37"/>
    <x v="99"/>
    <n v="186677"/>
    <n v="1064630"/>
    <n v="9.6193329999999992"/>
    <n v="-83.854517000000001"/>
    <n v="3136"/>
    <s v="Low"/>
    <d v="2014-03-13T00:00:00"/>
    <d v="2014-03-13T00:00:00"/>
    <n v="1"/>
  </r>
  <r>
    <x v="4"/>
    <x v="11"/>
    <x v="37"/>
    <x v="99"/>
    <n v="186677"/>
    <n v="1064630"/>
    <n v="9.6193329999999992"/>
    <n v="-83.854517000000001"/>
    <n v="3136"/>
    <s v="Low"/>
    <d v="2014-12-11T00:00:00"/>
    <d v="2015-03-28T00:00:00"/>
    <n v="108"/>
  </r>
  <r>
    <x v="12"/>
    <x v="11"/>
    <x v="37"/>
    <x v="99"/>
    <n v="186677"/>
    <n v="1064630"/>
    <n v="9.6193329999999992"/>
    <n v="-83.854517000000001"/>
    <n v="3136"/>
    <s v="Low"/>
    <d v="2016-03-24T00:00:00"/>
    <d v="2016-06-05T00:00:00"/>
    <n v="74"/>
  </r>
  <r>
    <x v="13"/>
    <x v="11"/>
    <x v="37"/>
    <x v="99"/>
    <n v="186677"/>
    <n v="1064630"/>
    <n v="9.6193329999999992"/>
    <n v="-83.854517000000001"/>
    <n v="3136"/>
    <s v="Low"/>
    <d v="2017-03-24T00:00:00"/>
    <d v="2017-06-05T00:00:00"/>
    <n v="74"/>
  </r>
  <r>
    <x v="14"/>
    <x v="11"/>
    <x v="37"/>
    <x v="99"/>
    <n v="186677"/>
    <n v="1064630"/>
    <n v="9.6193329999999992"/>
    <n v="-83.854517000000001"/>
    <n v="3136"/>
    <s v="Low"/>
    <d v="2017-09-06T00:00:00"/>
    <d v="2018-06-26T00:00:00"/>
    <n v="294"/>
  </r>
  <r>
    <x v="40"/>
    <x v="11"/>
    <x v="37"/>
    <x v="99"/>
    <n v="186688"/>
    <n v="1064617"/>
    <n v="9.6193299999999997"/>
    <n v="-83.854519999999994"/>
    <n v="3166"/>
    <s v="Low"/>
    <d v="2011-06-16T00:00:00"/>
    <d v="2011-08-04T00:00:00"/>
    <n v="50"/>
  </r>
  <r>
    <x v="5"/>
    <x v="11"/>
    <x v="37"/>
    <x v="99"/>
    <n v="186688"/>
    <n v="1064617"/>
    <n v="9.6193299999999997"/>
    <n v="-83.854519999999994"/>
    <n v="3166"/>
    <s v="Low"/>
    <d v="2012-06-22T00:00:00"/>
    <d v="2012-07-23T00:00:00"/>
    <n v="32"/>
  </r>
  <r>
    <x v="22"/>
    <x v="11"/>
    <x v="37"/>
    <x v="99"/>
    <n v="186688"/>
    <n v="1064617"/>
    <n v="9.6193329999999992"/>
    <n v="-83.854517000000001"/>
    <n v="3166"/>
    <s v="Low"/>
    <d v="2013-06-30T00:00:00"/>
    <d v="2013-07-22T00:00:00"/>
    <n v="23"/>
  </r>
  <r>
    <x v="31"/>
    <x v="11"/>
    <x v="37"/>
    <x v="99"/>
    <n v="186677"/>
    <n v="1064630"/>
    <n v="9.6193329999999992"/>
    <n v="-83.854517000000001"/>
    <n v="3136"/>
    <s v="Low"/>
    <m/>
    <m/>
    <n v="0"/>
  </r>
  <r>
    <x v="41"/>
    <x v="11"/>
    <x v="37"/>
    <x v="99"/>
    <n v="186677"/>
    <n v="1064630"/>
    <n v="9.6193329999999992"/>
    <n v="-83.854517000000001"/>
    <n v="3136"/>
    <s v="Low"/>
    <d v="2018-07-23T00:00:00"/>
    <d v="2019-06-13T00:00:00"/>
    <n v="326"/>
  </r>
  <r>
    <x v="2"/>
    <x v="11"/>
    <x v="37"/>
    <x v="100"/>
    <n v="186470"/>
    <n v="1064101"/>
    <n v="9.6145329999999998"/>
    <n v="-83.856367000000006"/>
    <n v="3087"/>
    <s v="Low"/>
    <d v="2013-01-07T00:00:00"/>
    <d v="2013-06-19T00:00:00"/>
    <n v="164"/>
  </r>
  <r>
    <x v="3"/>
    <x v="11"/>
    <x v="37"/>
    <x v="100"/>
    <n v="186470"/>
    <n v="1064101"/>
    <n v="9.6145329999999998"/>
    <n v="-83.856367000000006"/>
    <n v="3087"/>
    <s v="Low"/>
    <d v="2014-01-05T00:00:00"/>
    <d v="2014-05-11T00:00:00"/>
    <n v="127"/>
  </r>
  <r>
    <x v="4"/>
    <x v="11"/>
    <x v="37"/>
    <x v="100"/>
    <n v="186470"/>
    <n v="1064101"/>
    <n v="9.6145329999999998"/>
    <n v="-83.856367000000006"/>
    <n v="3087"/>
    <s v="Low"/>
    <d v="2014-12-22T00:00:00"/>
    <d v="2015-02-11T00:00:00"/>
    <n v="52"/>
  </r>
  <r>
    <x v="13"/>
    <x v="11"/>
    <x v="37"/>
    <x v="100"/>
    <n v="186470"/>
    <n v="1064101"/>
    <n v="9.6145329999999998"/>
    <n v="-83.856367000000006"/>
    <n v="3087"/>
    <s v="Low"/>
    <d v="2017-03-25T00:00:00"/>
    <d v="2017-06-03T00:00:00"/>
    <n v="71"/>
  </r>
  <r>
    <x v="14"/>
    <x v="11"/>
    <x v="37"/>
    <x v="100"/>
    <n v="186470"/>
    <n v="1064101"/>
    <n v="9.6145329999999998"/>
    <n v="-83.856367000000006"/>
    <n v="3087"/>
    <s v="Low"/>
    <d v="2017-06-04T00:00:00"/>
    <d v="2018-06-26T00:00:00"/>
    <n v="388"/>
  </r>
  <r>
    <x v="40"/>
    <x v="11"/>
    <x v="37"/>
    <x v="100"/>
    <n v="186462"/>
    <n v="1064091"/>
    <n v="9.6145300000000002"/>
    <n v="-83.856369999999998"/>
    <n v="3101"/>
    <s v="Low"/>
    <d v="2011-06-16T00:00:00"/>
    <d v="2011-08-04T00:00:00"/>
    <n v="50"/>
  </r>
  <r>
    <x v="7"/>
    <x v="11"/>
    <x v="37"/>
    <x v="100"/>
    <n v="186462"/>
    <n v="1064091"/>
    <n v="9.6145300000000002"/>
    <n v="-83.856369999999998"/>
    <n v="3101"/>
    <s v="Low"/>
    <d v="2012-08-19T00:00:00"/>
    <d v="2013-01-06T00:00:00"/>
    <n v="141"/>
  </r>
  <r>
    <x v="0"/>
    <x v="11"/>
    <x v="37"/>
    <x v="100"/>
    <n v="186462"/>
    <n v="1064091"/>
    <n v="9.6145300000000002"/>
    <n v="-83.856369999999998"/>
    <n v="3101"/>
    <s v="Low"/>
    <d v="2013-07-17T00:00:00"/>
    <d v="2013-12-18T00:00:00"/>
    <n v="155"/>
  </r>
  <r>
    <x v="18"/>
    <x v="11"/>
    <x v="37"/>
    <x v="100"/>
    <n v="186462"/>
    <n v="1064091"/>
    <n v="9.6145300000000002"/>
    <n v="-83.856369999999998"/>
    <n v="3101"/>
    <s v="Low"/>
    <d v="2016-07-04T00:00:00"/>
    <d v="2016-10-26T00:00:00"/>
    <n v="115"/>
  </r>
  <r>
    <x v="5"/>
    <x v="11"/>
    <x v="37"/>
    <x v="100"/>
    <n v="186462"/>
    <n v="1064091"/>
    <n v="9.6145300000000002"/>
    <n v="-83.856369999999998"/>
    <n v="3101"/>
    <s v="Low"/>
    <d v="2012-06-22T00:00:00"/>
    <d v="2012-07-23T00:00:00"/>
    <n v="32"/>
  </r>
  <r>
    <x v="22"/>
    <x v="11"/>
    <x v="37"/>
    <x v="100"/>
    <n v="186462"/>
    <n v="1064091"/>
    <n v="9.6145329999999998"/>
    <n v="-83.856367000000006"/>
    <n v="3101"/>
    <s v="Low"/>
    <d v="2013-07-05T00:00:00"/>
    <d v="2013-07-29T00:00:00"/>
    <n v="25"/>
  </r>
  <r>
    <x v="19"/>
    <x v="11"/>
    <x v="37"/>
    <x v="100"/>
    <n v="186470"/>
    <n v="1064101"/>
    <n v="9.6145329999999998"/>
    <n v="-83.856367000000006"/>
    <n v="3087"/>
    <s v="Low"/>
    <d v="2014-06-22T00:00:00"/>
    <d v="2014-07-25T00:00:00"/>
    <n v="34"/>
  </r>
  <r>
    <x v="31"/>
    <x v="11"/>
    <x v="37"/>
    <x v="100"/>
    <n v="186470"/>
    <n v="1064101"/>
    <n v="9.6145329999999998"/>
    <n v="-83.856367000000006"/>
    <n v="3087"/>
    <s v="Low"/>
    <m/>
    <m/>
    <n v="0"/>
  </r>
  <r>
    <x v="41"/>
    <x v="11"/>
    <x v="37"/>
    <x v="100"/>
    <n v="186470"/>
    <n v="1064101"/>
    <n v="9.6145329999999998"/>
    <n v="-83.856367000000006"/>
    <n v="3087"/>
    <s v="Low"/>
    <d v="2018-07-23T00:00:00"/>
    <d v="2019-06-13T00:00:00"/>
    <n v="326"/>
  </r>
  <r>
    <x v="19"/>
    <x v="11"/>
    <x v="38"/>
    <x v="101"/>
    <n v="195168"/>
    <n v="1057332"/>
    <n v="9.5540310000000002"/>
    <n v="-83.776689000000005"/>
    <n v="3024"/>
    <s v="Low"/>
    <d v="2014-07-04T00:00:00"/>
    <d v="2014-07-18T00:00:00"/>
    <n v="15"/>
  </r>
  <r>
    <x v="15"/>
    <x v="11"/>
    <x v="38"/>
    <x v="101"/>
    <n v="195168"/>
    <n v="1057332"/>
    <n v="9.5540310000000002"/>
    <n v="-83.776689000000005"/>
    <n v="3024"/>
    <s v="Low"/>
    <d v="2015-06-08T00:00:00"/>
    <d v="2015-06-17T00:00:00"/>
    <n v="10"/>
  </r>
  <r>
    <x v="38"/>
    <x v="11"/>
    <x v="38"/>
    <x v="102"/>
    <n v="194227"/>
    <n v="1056860"/>
    <n v="9.5496999999999996"/>
    <n v="-83.785217000000003"/>
    <n v="2847"/>
    <s v="Low"/>
    <m/>
    <m/>
    <n v="0"/>
  </r>
  <r>
    <x v="42"/>
    <x v="11"/>
    <x v="38"/>
    <x v="102"/>
    <n v="194227"/>
    <n v="1056860"/>
    <n v="9.5496999999999996"/>
    <n v="-83.785217000000003"/>
    <n v="2847"/>
    <s v="Low"/>
    <m/>
    <m/>
    <n v="0"/>
  </r>
  <r>
    <x v="43"/>
    <x v="11"/>
    <x v="38"/>
    <x v="102"/>
    <n v="194227"/>
    <n v="1056860"/>
    <n v="9.5496999999999996"/>
    <n v="-83.785217000000003"/>
    <n v="2847"/>
    <s v="Low"/>
    <d v="2010-06-30T00:00:00"/>
    <d v="2010-08-17T00:00:00"/>
    <n v="49"/>
  </r>
  <r>
    <x v="40"/>
    <x v="11"/>
    <x v="38"/>
    <x v="102"/>
    <n v="194227"/>
    <n v="1056860"/>
    <n v="9.5496999999999996"/>
    <n v="-83.785217000000003"/>
    <n v="2847"/>
    <s v="Low"/>
    <d v="2011-04-15T00:00:00"/>
    <d v="2011-07-20T00:00:00"/>
    <n v="61"/>
  </r>
  <r>
    <x v="40"/>
    <x v="11"/>
    <x v="38"/>
    <x v="103"/>
    <m/>
    <m/>
    <m/>
    <m/>
    <m/>
    <s v="Low"/>
    <d v="2011-06-23T00:00:00"/>
    <d v="2011-08-05T00:00:00"/>
    <n v="31"/>
  </r>
  <r>
    <x v="5"/>
    <x v="11"/>
    <x v="38"/>
    <x v="104"/>
    <n v="194932"/>
    <n v="1057260"/>
    <n v="9.5532299999999992"/>
    <n v="-83.778850000000006"/>
    <n v="3072"/>
    <s v="Low"/>
    <d v="2012-06-19T00:00:00"/>
    <d v="2012-08-07T00:00:00"/>
    <n v="50"/>
  </r>
  <r>
    <x v="22"/>
    <x v="11"/>
    <x v="38"/>
    <x v="104"/>
    <n v="194932"/>
    <n v="1057260"/>
    <n v="9.5532330000000005"/>
    <n v="-83.778850000000006"/>
    <n v="3065"/>
    <s v="Low"/>
    <d v="2013-06-18T00:00:00"/>
    <d v="2013-07-25T00:00:00"/>
    <n v="38"/>
  </r>
  <r>
    <x v="31"/>
    <x v="11"/>
    <x v="38"/>
    <x v="104"/>
    <n v="194593"/>
    <n v="1057111"/>
    <n v="9.5519999999999996"/>
    <n v="-83.781899999999993"/>
    <n v="2991"/>
    <s v="Low"/>
    <d v="2018-06-26T00:00:00"/>
    <d v="2018-07-20T00:00:00"/>
    <n v="25"/>
  </r>
  <r>
    <x v="31"/>
    <x v="11"/>
    <x v="38"/>
    <x v="104"/>
    <n v="194593"/>
    <n v="1057111"/>
    <n v="9.5519999999999996"/>
    <n v="-83.781899999999993"/>
    <n v="2991"/>
    <s v="Low"/>
    <m/>
    <m/>
    <n v="0"/>
  </r>
  <r>
    <x v="41"/>
    <x v="11"/>
    <x v="38"/>
    <x v="104"/>
    <n v="194593"/>
    <n v="1057111"/>
    <n v="9.5519999999999996"/>
    <n v="-83.781899999999993"/>
    <n v="2991"/>
    <s v="Low"/>
    <d v="2019-06-15T00:00:00"/>
    <d v="2019-07-04T00:00:00"/>
    <n v="20"/>
  </r>
  <r>
    <x v="40"/>
    <x v="11"/>
    <x v="38"/>
    <x v="105"/>
    <m/>
    <m/>
    <m/>
    <m/>
    <m/>
    <s v="Low"/>
    <d v="2011-06-15T00:00:00"/>
    <d v="2011-07-20T00:00:00"/>
    <n v="33"/>
  </r>
  <r>
    <x v="5"/>
    <x v="11"/>
    <x v="38"/>
    <x v="105"/>
    <n v="195163"/>
    <n v="1057330"/>
    <n v="9.5541"/>
    <n v="-83.776669999999996"/>
    <n v="3080"/>
    <s v="Low"/>
    <d v="2012-06-19T00:00:00"/>
    <d v="2012-08-07T00:00:00"/>
    <n v="50"/>
  </r>
  <r>
    <x v="22"/>
    <x v="11"/>
    <x v="38"/>
    <x v="105"/>
    <n v="195163"/>
    <n v="1057330"/>
    <n v="9.5541"/>
    <n v="-83.776667000000003"/>
    <n v="3068"/>
    <s v="Low"/>
    <d v="2013-06-18T00:00:00"/>
    <d v="2013-07-23T00:00:00"/>
    <n v="36"/>
  </r>
  <r>
    <x v="20"/>
    <x v="11"/>
    <x v="38"/>
    <x v="105"/>
    <n v="195134"/>
    <n v="1057285"/>
    <n v="9.5535929999999993"/>
    <n v="-83.776955000000001"/>
    <n v="3055"/>
    <s v="Low"/>
    <m/>
    <m/>
    <n v="0"/>
  </r>
  <r>
    <x v="31"/>
    <x v="11"/>
    <x v="38"/>
    <x v="105"/>
    <n v="195133"/>
    <n v="1057284"/>
    <n v="9.5535999999999994"/>
    <n v="-83.777000000000001"/>
    <n v="3055"/>
    <s v="Low"/>
    <d v="2018-06-26T00:00:00"/>
    <d v="2018-07-20T00:00:00"/>
    <n v="25"/>
  </r>
  <r>
    <x v="31"/>
    <x v="11"/>
    <x v="38"/>
    <x v="105"/>
    <n v="195133"/>
    <n v="1057284"/>
    <n v="9.5535999999999994"/>
    <n v="-83.777000000000001"/>
    <n v="3055"/>
    <s v="Low"/>
    <m/>
    <m/>
    <n v="0"/>
  </r>
  <r>
    <x v="41"/>
    <x v="11"/>
    <x v="38"/>
    <x v="105"/>
    <n v="195133"/>
    <n v="1057284"/>
    <n v="9.5535999999999994"/>
    <n v="-83.777000000000001"/>
    <n v="3055"/>
    <s v="Low"/>
    <d v="2019-06-15T00:00:00"/>
    <d v="2019-07-04T00:00:00"/>
    <n v="20"/>
  </r>
  <r>
    <x v="40"/>
    <x v="11"/>
    <x v="38"/>
    <x v="106"/>
    <m/>
    <m/>
    <m/>
    <m/>
    <m/>
    <s v="Low"/>
    <d v="2011-06-15T00:00:00"/>
    <d v="2011-07-20T00:00:00"/>
    <n v="36"/>
  </r>
  <r>
    <x v="40"/>
    <x v="11"/>
    <x v="38"/>
    <x v="107"/>
    <m/>
    <m/>
    <m/>
    <m/>
    <m/>
    <s v="Low"/>
    <d v="2011-06-15T00:00:00"/>
    <d v="2011-07-20T00:00:00"/>
    <n v="21"/>
  </r>
  <r>
    <x v="42"/>
    <x v="11"/>
    <x v="39"/>
    <x v="108"/>
    <n v="193588"/>
    <n v="1057031"/>
    <n v="9.5511999999999997"/>
    <n v="-83.791049999999998"/>
    <n v="2621"/>
    <s v="Low"/>
    <d v="2011-02-23T00:00:00"/>
    <d v="2011-03-23T00:00:00"/>
    <n v="29"/>
  </r>
  <r>
    <x v="40"/>
    <x v="11"/>
    <x v="39"/>
    <x v="108"/>
    <n v="193588"/>
    <n v="1057031"/>
    <n v="9.5511999999999997"/>
    <n v="-83.791049999999998"/>
    <n v="2621"/>
    <s v="Low"/>
    <d v="2011-03-14T00:00:00"/>
    <d v="2011-08-03T00:00:00"/>
    <n v="44"/>
  </r>
  <r>
    <x v="38"/>
    <x v="11"/>
    <x v="39"/>
    <x v="108"/>
    <n v="193588"/>
    <n v="1057031"/>
    <n v="9.5511999999999997"/>
    <n v="-83.791049999999998"/>
    <n v="2621"/>
    <s v="Low"/>
    <d v="2011-08-03T00:00:00"/>
    <d v="2011-12-08T00:00:00"/>
    <n v="128"/>
  </r>
  <r>
    <x v="40"/>
    <x v="11"/>
    <x v="40"/>
    <x v="109"/>
    <m/>
    <m/>
    <m/>
    <m/>
    <m/>
    <s v="Low"/>
    <d v="2011-06-22T00:00:00"/>
    <d v="2011-07-12T00:00:00"/>
    <n v="21"/>
  </r>
  <r>
    <x v="38"/>
    <x v="11"/>
    <x v="41"/>
    <x v="110"/>
    <n v="190617"/>
    <n v="1055675"/>
    <n v="9.5387299999999993"/>
    <n v="-83.817980000000006"/>
    <n v="2104"/>
    <s v="High"/>
    <m/>
    <m/>
    <n v="0"/>
  </r>
  <r>
    <x v="42"/>
    <x v="11"/>
    <x v="41"/>
    <x v="110"/>
    <n v="190617"/>
    <n v="1055675"/>
    <n v="9.5387299999999993"/>
    <n v="-83.817980000000006"/>
    <n v="2104"/>
    <s v="High"/>
    <m/>
    <m/>
    <n v="0"/>
  </r>
  <r>
    <x v="40"/>
    <x v="11"/>
    <x v="41"/>
    <x v="110"/>
    <n v="190617"/>
    <n v="1055675"/>
    <n v="9.5387299999999993"/>
    <n v="-83.817980000000006"/>
    <n v="2104"/>
    <s v="High"/>
    <d v="2011-04-08T00:00:00"/>
    <d v="2011-07-16T00:00:00"/>
    <n v="39"/>
  </r>
  <r>
    <x v="31"/>
    <x v="11"/>
    <x v="42"/>
    <x v="111"/>
    <n v="193338"/>
    <n v="1058129"/>
    <n v="9.5610999999999997"/>
    <n v="-83.793400000000005"/>
    <n v="2704"/>
    <s v="Low"/>
    <d v="2018-06-28T00:00:00"/>
    <d v="2018-07-20T00:00:00"/>
    <n v="23"/>
  </r>
  <r>
    <x v="31"/>
    <x v="11"/>
    <x v="42"/>
    <x v="111"/>
    <n v="193338"/>
    <n v="1058129"/>
    <n v="9.5610999999999997"/>
    <n v="-83.793400000000005"/>
    <n v="2704"/>
    <s v="Low"/>
    <m/>
    <m/>
    <n v="0"/>
  </r>
  <r>
    <x v="41"/>
    <x v="11"/>
    <x v="42"/>
    <x v="111"/>
    <n v="193338"/>
    <n v="1058129"/>
    <n v="9.5610999999999997"/>
    <n v="-83.793400000000005"/>
    <n v="2704"/>
    <s v="Low"/>
    <d v="2019-06-15T00:00:00"/>
    <d v="2019-07-04T00:00:00"/>
    <n v="20"/>
  </r>
  <r>
    <x v="31"/>
    <x v="11"/>
    <x v="42"/>
    <x v="112"/>
    <n v="193896"/>
    <n v="1057892"/>
    <n v="9.5589999999999993"/>
    <n v="-83.788300000000007"/>
    <n v="2768"/>
    <s v="Low"/>
    <d v="2018-06-28T00:00:00"/>
    <d v="2018-07-20T00:00:00"/>
    <n v="23"/>
  </r>
  <r>
    <x v="31"/>
    <x v="11"/>
    <x v="42"/>
    <x v="112"/>
    <n v="193896"/>
    <n v="1057892"/>
    <n v="9.5589999999999993"/>
    <n v="-83.788300000000007"/>
    <n v="2768"/>
    <s v="Low"/>
    <m/>
    <m/>
    <n v="0"/>
  </r>
  <r>
    <x v="41"/>
    <x v="11"/>
    <x v="42"/>
    <x v="112"/>
    <n v="193896"/>
    <n v="1057892"/>
    <n v="9.5589999999999993"/>
    <n v="-83.788300000000007"/>
    <n v="2768"/>
    <s v="Low"/>
    <d v="2019-06-15T00:00:00"/>
    <d v="2019-07-04T00:00:00"/>
    <n v="20"/>
  </r>
  <r>
    <x v="31"/>
    <x v="11"/>
    <x v="42"/>
    <x v="113"/>
    <n v="194622"/>
    <n v="1057930"/>
    <n v="9.5594000000000001"/>
    <n v="-83.781700000000001"/>
    <n v="2939"/>
    <s v="Low"/>
    <d v="2018-06-28T00:00:00"/>
    <d v="2018-07-20T00:00:00"/>
    <n v="23"/>
  </r>
  <r>
    <x v="31"/>
    <x v="11"/>
    <x v="42"/>
    <x v="113"/>
    <n v="194622"/>
    <n v="1057930"/>
    <n v="9.5594000000000001"/>
    <n v="-83.781700000000001"/>
    <n v="2939"/>
    <s v="Low"/>
    <m/>
    <m/>
    <n v="0"/>
  </r>
  <r>
    <x v="41"/>
    <x v="11"/>
    <x v="42"/>
    <x v="113"/>
    <n v="194622"/>
    <n v="1057930"/>
    <n v="9.5594000000000001"/>
    <n v="-83.781700000000001"/>
    <n v="2939"/>
    <s v="Low"/>
    <d v="2019-06-15T00:00:00"/>
    <d v="2019-07-04T00:00:00"/>
    <n v="20"/>
  </r>
  <r>
    <x v="31"/>
    <x v="11"/>
    <x v="42"/>
    <x v="114"/>
    <n v="194640"/>
    <n v="1057454"/>
    <n v="9.5550999999999995"/>
    <n v="-83.781499999999994"/>
    <n v="2995"/>
    <s v="Low"/>
    <d v="2018-06-28T00:00:00"/>
    <d v="2018-07-20T00:00:00"/>
    <n v="23"/>
  </r>
  <r>
    <x v="31"/>
    <x v="11"/>
    <x v="42"/>
    <x v="114"/>
    <n v="194640"/>
    <n v="1057454"/>
    <n v="9.5550999999999995"/>
    <n v="-83.781499999999994"/>
    <n v="2995"/>
    <s v="Low"/>
    <m/>
    <m/>
    <n v="0"/>
  </r>
  <r>
    <x v="41"/>
    <x v="11"/>
    <x v="42"/>
    <x v="114"/>
    <n v="194640"/>
    <n v="1057454"/>
    <n v="9.5550999999999995"/>
    <n v="-83.781499999999994"/>
    <n v="2995"/>
    <s v="Low"/>
    <d v="2019-06-15T00:00:00"/>
    <d v="2019-07-04T00:00:00"/>
    <n v="20"/>
  </r>
  <r>
    <x v="20"/>
    <x v="11"/>
    <x v="42"/>
    <x v="115"/>
    <n v="193283"/>
    <n v="1058074"/>
    <n v="9.5606030000000004"/>
    <n v="-83.793947000000003"/>
    <n v="2706"/>
    <s v="Low"/>
    <d v="2017-05-25T00:00:00"/>
    <d v="2017-06-07T00:00:00"/>
    <n v="14"/>
  </r>
  <r>
    <x v="40"/>
    <x v="11"/>
    <x v="42"/>
    <x v="116"/>
    <m/>
    <m/>
    <m/>
    <m/>
    <m/>
    <s v="Low"/>
    <d v="2011-06-15T00:00:00"/>
    <d v="2011-08-05T00:00:00"/>
    <n v="52"/>
  </r>
  <r>
    <x v="5"/>
    <x v="11"/>
    <x v="42"/>
    <x v="116"/>
    <n v="192961"/>
    <n v="1058365"/>
    <n v="9.5631299999999992"/>
    <n v="-83.796800000000005"/>
    <n v="2562"/>
    <s v="Low"/>
    <d v="2012-06-19T00:00:00"/>
    <d v="2012-08-07T00:00:00"/>
    <n v="50"/>
  </r>
  <r>
    <x v="22"/>
    <x v="11"/>
    <x v="42"/>
    <x v="116"/>
    <n v="192961"/>
    <n v="1058365"/>
    <n v="9.5591329999999992"/>
    <n v="-83.788732999999993"/>
    <n v="2569"/>
    <s v="Low"/>
    <d v="2013-06-19T00:00:00"/>
    <d v="2013-07-23T00:00:00"/>
    <n v="35"/>
  </r>
  <r>
    <x v="19"/>
    <x v="11"/>
    <x v="42"/>
    <x v="116"/>
    <n v="194927"/>
    <n v="1057288"/>
    <n v="9.5591329999999992"/>
    <n v="-83.788732999999993"/>
    <n v="3019"/>
    <s v="Low"/>
    <d v="2014-06-23T00:00:00"/>
    <d v="2014-07-13T00:00:00"/>
    <n v="21"/>
  </r>
  <r>
    <x v="15"/>
    <x v="11"/>
    <x v="42"/>
    <x v="116"/>
    <n v="194927"/>
    <n v="1057288"/>
    <n v="9.5591329999999992"/>
    <n v="-83.788732999999993"/>
    <n v="3019"/>
    <s v="Low"/>
    <d v="2015-06-11T00:00:00"/>
    <d v="2015-06-13T00:00:00"/>
    <n v="3"/>
  </r>
  <r>
    <x v="16"/>
    <x v="11"/>
    <x v="42"/>
    <x v="116"/>
    <n v="194927"/>
    <n v="1057288"/>
    <n v="9.5536159999999999"/>
    <n v="83.778880000000001"/>
    <n v="3019"/>
    <s v="Low"/>
    <m/>
    <m/>
    <n v="0"/>
  </r>
  <r>
    <x v="20"/>
    <x v="11"/>
    <x v="42"/>
    <x v="116"/>
    <n v="193853"/>
    <n v="1057904"/>
    <n v="9.5591340000000002"/>
    <n v="-83.788726999999994"/>
    <n v="2780"/>
    <s v="Low"/>
    <d v="2017-05-25T00:00:00"/>
    <d v="2017-06-07T00:00:00"/>
    <n v="14"/>
  </r>
  <r>
    <x v="40"/>
    <x v="11"/>
    <x v="42"/>
    <x v="117"/>
    <m/>
    <m/>
    <m/>
    <m/>
    <m/>
    <s v="Low"/>
    <d v="2011-06-17T00:00:00"/>
    <d v="2011-08-05T00:00:00"/>
    <n v="45"/>
  </r>
  <r>
    <x v="5"/>
    <x v="11"/>
    <x v="42"/>
    <x v="117"/>
    <n v="193875"/>
    <n v="1057898"/>
    <n v="9.5588999999999995"/>
    <n v="-83.788300000000007"/>
    <n v="2772"/>
    <s v="Low"/>
    <d v="2012-06-19T00:00:00"/>
    <d v="2012-08-07T00:00:00"/>
    <n v="50"/>
  </r>
  <r>
    <x v="40"/>
    <x v="11"/>
    <x v="42"/>
    <x v="118"/>
    <m/>
    <m/>
    <m/>
    <m/>
    <m/>
    <s v="Low"/>
    <d v="2011-06-21T00:00:00"/>
    <d v="2011-07-07T00:00:00"/>
    <n v="14"/>
  </r>
  <r>
    <x v="5"/>
    <x v="11"/>
    <x v="42"/>
    <x v="118"/>
    <n v="194689"/>
    <n v="1057738"/>
    <n v="9.5576699999999999"/>
    <n v="-83.781080000000003"/>
    <n v="2973"/>
    <s v="Low"/>
    <d v="2012-06-19T00:00:00"/>
    <d v="2012-08-07T00:00:00"/>
    <n v="50"/>
  </r>
  <r>
    <x v="22"/>
    <x v="11"/>
    <x v="42"/>
    <x v="118"/>
    <n v="194932"/>
    <n v="1047738"/>
    <n v="9.5594000000000001"/>
    <n v="-83.787216999999998"/>
    <n v="2973"/>
    <s v="Low"/>
    <d v="2013-06-29T00:00:00"/>
    <d v="2013-07-25T00:00:00"/>
    <n v="27"/>
  </r>
  <r>
    <x v="19"/>
    <x v="11"/>
    <x v="42"/>
    <x v="118"/>
    <n v="193904"/>
    <n v="1057885"/>
    <n v="9.5594000000000001"/>
    <n v="-83.787216999999998"/>
    <n v="2764"/>
    <s v="Low"/>
    <d v="2014-06-26T00:00:00"/>
    <d v="2014-07-26T00:00:00"/>
    <n v="31"/>
  </r>
  <r>
    <x v="15"/>
    <x v="11"/>
    <x v="42"/>
    <x v="118"/>
    <n v="193904"/>
    <n v="1057885"/>
    <n v="9.5594000000000001"/>
    <n v="-83.787216999999998"/>
    <n v="2764"/>
    <s v="Low"/>
    <d v="2015-06-07T00:00:00"/>
    <d v="2015-06-18T00:00:00"/>
    <n v="12"/>
  </r>
  <r>
    <x v="16"/>
    <x v="11"/>
    <x v="42"/>
    <x v="118"/>
    <n v="193904"/>
    <n v="1057885"/>
    <n v="9.558935"/>
    <n v="-83.788234000000003"/>
    <n v="2764"/>
    <s v="Low"/>
    <m/>
    <m/>
    <n v="0"/>
  </r>
  <r>
    <x v="20"/>
    <x v="11"/>
    <x v="42"/>
    <x v="118"/>
    <n v="194018"/>
    <n v="1057936"/>
    <n v="9.5594070000000002"/>
    <n v="-83.787209000000004"/>
    <n v="2797"/>
    <s v="Low"/>
    <d v="2017-05-11T00:00:00"/>
    <d v="2017-06-07T00:00:00"/>
    <n v="28"/>
  </r>
  <r>
    <x v="40"/>
    <x v="11"/>
    <x v="42"/>
    <x v="119"/>
    <m/>
    <m/>
    <m/>
    <m/>
    <m/>
    <s v="Low"/>
    <d v="2011-06-23T00:00:00"/>
    <d v="2011-08-05T00:00:00"/>
    <n v="26"/>
  </r>
  <r>
    <x v="19"/>
    <x v="11"/>
    <x v="42"/>
    <x v="119"/>
    <n v="194624"/>
    <n v="1057936"/>
    <n v="9.5582829999999994"/>
    <n v="-83.780967000000004"/>
    <n v="2875"/>
    <s v="Low"/>
    <d v="2014-07-11T00:00:00"/>
    <d v="2014-07-25T00:00:00"/>
    <n v="15"/>
  </r>
  <r>
    <x v="15"/>
    <x v="11"/>
    <x v="42"/>
    <x v="119"/>
    <n v="194624"/>
    <n v="1057936"/>
    <n v="9.5582829999999994"/>
    <n v="-83.780967000000004"/>
    <n v="2875"/>
    <s v="Low"/>
    <d v="2015-06-08T00:00:00"/>
    <d v="2015-06-08T00:00:00"/>
    <n v="1"/>
  </r>
  <r>
    <x v="16"/>
    <x v="11"/>
    <x v="42"/>
    <x v="119"/>
    <n v="194624"/>
    <n v="1057936"/>
    <n v="9.5594479999999997"/>
    <n v="-83.781684999999996"/>
    <n v="2875"/>
    <s v="Low"/>
    <m/>
    <m/>
    <n v="0"/>
  </r>
  <r>
    <x v="20"/>
    <x v="11"/>
    <x v="42"/>
    <x v="119"/>
    <n v="194698"/>
    <n v="1057808"/>
    <n v="9.5582799999999999"/>
    <n v="-83.780968999999999"/>
    <n v="2968"/>
    <s v="Low"/>
    <d v="2017-05-25T00:00:00"/>
    <d v="2017-06-07T00:00:00"/>
    <n v="14"/>
  </r>
  <r>
    <x v="2"/>
    <x v="11"/>
    <x v="43"/>
    <x v="120"/>
    <n v="191713"/>
    <n v="1057137"/>
    <n v="9.5520169999999993"/>
    <n v="-83.808116999999996"/>
    <n v="2193"/>
    <s v="Low"/>
    <d v="2013-02-28T00:00:00"/>
    <d v="2013-03-21T00:00:00"/>
    <n v="22"/>
  </r>
  <r>
    <x v="2"/>
    <x v="11"/>
    <x v="43"/>
    <x v="121"/>
    <n v="191512"/>
    <n v="1057135"/>
    <n v="9.5519829999999999"/>
    <n v="-83.809950000000001"/>
    <n v="2266"/>
    <s v="Low"/>
    <d v="2013-02-06T00:00:00"/>
    <d v="2013-04-03T00:00:00"/>
    <n v="57"/>
  </r>
  <r>
    <x v="2"/>
    <x v="11"/>
    <x v="43"/>
    <x v="122"/>
    <n v="191793"/>
    <n v="1057051"/>
    <n v="9.5512499999999996"/>
    <n v="-83.807383000000002"/>
    <n v="2197"/>
    <s v="Low"/>
    <d v="2013-02-05T00:00:00"/>
    <d v="2013-04-04T00:00:00"/>
    <n v="59"/>
  </r>
  <r>
    <x v="2"/>
    <x v="11"/>
    <x v="43"/>
    <x v="123"/>
    <n v="191793"/>
    <n v="1057051"/>
    <n v="9.5512499999999996"/>
    <n v="-83.807383000000002"/>
    <n v="2197"/>
    <s v="Low"/>
    <d v="2013-03-05T00:00:00"/>
    <d v="2013-03-17T00:00:00"/>
    <n v="13"/>
  </r>
  <r>
    <x v="2"/>
    <x v="11"/>
    <x v="43"/>
    <x v="124"/>
    <n v="191512"/>
    <n v="1057135"/>
    <n v="9.5519829999999999"/>
    <n v="-83.809950000000001"/>
    <n v="2266"/>
    <s v="Low"/>
    <d v="2013-01-13T00:00:00"/>
    <d v="2013-04-03T00:00:00"/>
    <n v="81"/>
  </r>
  <r>
    <x v="2"/>
    <x v="11"/>
    <x v="43"/>
    <x v="125"/>
    <n v="190772"/>
    <n v="1057154"/>
    <n v="9.5520999999999994"/>
    <n v="-83.816682999999998"/>
    <n v="2388"/>
    <s v="Low"/>
    <d v="2013-01-13T00:00:00"/>
    <d v="2013-07-25T00:00:00"/>
    <n v="194"/>
  </r>
  <r>
    <x v="2"/>
    <x v="11"/>
    <x v="43"/>
    <x v="126"/>
    <n v="191819"/>
    <n v="1057103"/>
    <n v="9.551717"/>
    <n v="-83.807149999999993"/>
    <n v="2201"/>
    <s v="Low"/>
    <d v="2013-01-31T00:00:00"/>
    <d v="2013-07-22T00:00:00"/>
    <n v="173"/>
  </r>
  <r>
    <x v="2"/>
    <x v="11"/>
    <x v="43"/>
    <x v="127"/>
    <n v="191819"/>
    <n v="1057103"/>
    <n v="9.551717"/>
    <n v="-83.807149999999993"/>
    <n v="2201"/>
    <s v="Low"/>
    <d v="2013-01-13T00:00:00"/>
    <d v="2013-03-29T00:00:00"/>
    <n v="76"/>
  </r>
  <r>
    <x v="3"/>
    <x v="11"/>
    <x v="44"/>
    <x v="128"/>
    <n v="192421"/>
    <n v="1060843"/>
    <n v="9.5855499999999996"/>
    <n v="-83.801950000000005"/>
    <n v="2550"/>
    <s v="Low"/>
    <d v="2014-01-14T00:00:00"/>
    <d v="2014-06-21T00:00:00"/>
    <n v="159"/>
  </r>
  <r>
    <x v="3"/>
    <x v="11"/>
    <x v="44"/>
    <x v="129"/>
    <n v="192513"/>
    <n v="1060935"/>
    <n v="9.5863829999999997"/>
    <n v="-83.801117000000005"/>
    <n v="2597"/>
    <s v="Low"/>
    <d v="2013-10-02T00:00:00"/>
    <d v="2014-06-18T00:00:00"/>
    <n v="260"/>
  </r>
  <r>
    <x v="3"/>
    <x v="11"/>
    <x v="44"/>
    <x v="130"/>
    <n v="193368"/>
    <n v="1060867"/>
    <n v="9.5858329999999992"/>
    <n v="-83.793333000000004"/>
    <n v="2635"/>
    <s v="Low"/>
    <d v="2014-01-12T00:00:00"/>
    <d v="2014-03-22T00:00:00"/>
    <n v="60"/>
  </r>
  <r>
    <x v="3"/>
    <x v="11"/>
    <x v="44"/>
    <x v="131"/>
    <n v="192512"/>
    <n v="1060750"/>
    <n v="9.5847169999999995"/>
    <n v="-83.801117000000005"/>
    <n v="2539"/>
    <s v="Low"/>
    <d v="2014-02-02T00:00:00"/>
    <d v="2014-03-22T00:00:00"/>
    <n v="49"/>
  </r>
  <r>
    <x v="3"/>
    <x v="11"/>
    <x v="44"/>
    <x v="132"/>
    <n v="192574"/>
    <n v="1060750"/>
    <n v="9.5847169999999995"/>
    <n v="-83.800550000000001"/>
    <n v="2568"/>
    <s v="Low"/>
    <d v="2014-01-13T00:00:00"/>
    <d v="2014-01-31T00:00:00"/>
    <n v="19"/>
  </r>
  <r>
    <x v="38"/>
    <x v="11"/>
    <x v="45"/>
    <x v="133"/>
    <n v="191785"/>
    <n v="1057330"/>
    <n v="9.5537700000000001"/>
    <n v="-83.807479999999998"/>
    <n v="2249"/>
    <s v="Low"/>
    <m/>
    <m/>
    <n v="0"/>
  </r>
  <r>
    <x v="42"/>
    <x v="11"/>
    <x v="45"/>
    <x v="133"/>
    <n v="191785"/>
    <n v="1057330"/>
    <n v="9.5537700000000001"/>
    <n v="-83.807479999999998"/>
    <n v="2249"/>
    <s v="Low"/>
    <m/>
    <m/>
    <n v="0"/>
  </r>
  <r>
    <x v="43"/>
    <x v="11"/>
    <x v="45"/>
    <x v="133"/>
    <n v="191785"/>
    <n v="1057330"/>
    <n v="9.5537700000000001"/>
    <n v="-83.807479999999998"/>
    <n v="2249"/>
    <s v="Low"/>
    <d v="2010-08-12T00:00:00"/>
    <d v="2010-08-22T00:00:00"/>
    <n v="11"/>
  </r>
  <r>
    <x v="40"/>
    <x v="11"/>
    <x v="45"/>
    <x v="133"/>
    <n v="191785"/>
    <n v="1057330"/>
    <n v="9.5537700000000001"/>
    <n v="-83.807479999999998"/>
    <n v="2249"/>
    <s v="Low"/>
    <d v="2011-04-12T00:00:00"/>
    <d v="2011-08-03T00:00:00"/>
    <n v="39"/>
  </r>
  <r>
    <x v="5"/>
    <x v="11"/>
    <x v="45"/>
    <x v="133"/>
    <n v="191785"/>
    <n v="1057330"/>
    <n v="9.5537670000000006"/>
    <n v="-83.807483000000005"/>
    <n v="2249"/>
    <s v="Low"/>
    <d v="2012-04-15T00:00:00"/>
    <d v="2012-08-09T00:00:00"/>
    <n v="117"/>
  </r>
  <r>
    <x v="13"/>
    <x v="11"/>
    <x v="46"/>
    <x v="134"/>
    <n v="194133.78"/>
    <n v="1060015.6000000001"/>
    <n v="9.5782000000000007"/>
    <n v="-83.786299999999997"/>
    <n v="2956"/>
    <s v="Low"/>
    <d v="2017-03-29T00:00:00"/>
    <d v="2017-05-12T00:00:00"/>
    <n v="45"/>
  </r>
  <r>
    <x v="20"/>
    <x v="11"/>
    <x v="46"/>
    <x v="134"/>
    <n v="194134"/>
    <n v="1060015.6000000001"/>
    <n v="9.5782000000000007"/>
    <n v="-83.786299999999997"/>
    <n v="2956"/>
    <s v="Low"/>
    <m/>
    <m/>
    <n v="0"/>
  </r>
  <r>
    <x v="20"/>
    <x v="11"/>
    <x v="46"/>
    <x v="135"/>
    <n v="193925"/>
    <n v="1059973.02"/>
    <n v="9.5777999999999999"/>
    <n v="-83.788200000000003"/>
    <n v="2876"/>
    <s v="Low"/>
    <m/>
    <m/>
    <n v="0"/>
  </r>
  <r>
    <x v="13"/>
    <x v="11"/>
    <x v="46"/>
    <x v="136"/>
    <n v="193836.45"/>
    <n v="1059929.46"/>
    <n v="9.5774000000000008"/>
    <n v="-83.789000000000001"/>
    <n v="2848"/>
    <s v="Low"/>
    <d v="2017-03-29T00:00:00"/>
    <d v="2017-05-12T00:00:00"/>
    <n v="45"/>
  </r>
  <r>
    <x v="20"/>
    <x v="11"/>
    <x v="46"/>
    <x v="136"/>
    <n v="193836"/>
    <n v="1059929.46"/>
    <n v="9.5774000000000008"/>
    <n v="-83.789000000000001"/>
    <n v="2848"/>
    <s v="Low"/>
    <m/>
    <m/>
    <n v="0"/>
  </r>
  <r>
    <x v="13"/>
    <x v="11"/>
    <x v="46"/>
    <x v="137"/>
    <n v="193428.98"/>
    <n v="1059811"/>
    <n v="9.5762999999999998"/>
    <n v="-83.792699999999996"/>
    <n v="2742"/>
    <s v="Low"/>
    <d v="2017-03-29T00:00:00"/>
    <d v="2017-05-12T00:00:00"/>
    <n v="45"/>
  </r>
  <r>
    <x v="20"/>
    <x v="11"/>
    <x v="46"/>
    <x v="137"/>
    <n v="193429"/>
    <n v="1059811"/>
    <n v="9.5762999999999998"/>
    <n v="-83.792699999999996"/>
    <n v="2742"/>
    <s v="Low"/>
    <m/>
    <m/>
    <n v="0"/>
  </r>
  <r>
    <x v="13"/>
    <x v="11"/>
    <x v="46"/>
    <x v="138"/>
    <n v="193056.45"/>
    <n v="1059935.79"/>
    <n v="9.5774000000000008"/>
    <n v="-83.796099999999996"/>
    <n v="2614"/>
    <s v="Low"/>
    <d v="2017-02-15T00:00:00"/>
    <d v="2017-05-12T00:00:00"/>
    <n v="65"/>
  </r>
  <r>
    <x v="20"/>
    <x v="11"/>
    <x v="46"/>
    <x v="138"/>
    <n v="193056"/>
    <n v="1059935.79"/>
    <n v="9.5774000000000008"/>
    <n v="-83.796099999999996"/>
    <n v="2614"/>
    <s v="Low"/>
    <m/>
    <m/>
    <n v="0"/>
  </r>
  <r>
    <x v="20"/>
    <x v="11"/>
    <x v="46"/>
    <x v="139"/>
    <n v="192880"/>
    <n v="1059848.67"/>
    <n v="9.5765999999999991"/>
    <n v="-83.797700000000006"/>
    <n v="2558"/>
    <s v="Low"/>
    <m/>
    <m/>
    <n v="0"/>
  </r>
  <r>
    <x v="19"/>
    <x v="11"/>
    <x v="47"/>
    <x v="140"/>
    <n v="190484"/>
    <n v="1062418"/>
    <n v="9.599634"/>
    <n v="-83.819699999999997"/>
    <n v="3092"/>
    <s v="Low"/>
    <d v="2014-06-21T00:00:00"/>
    <d v="2014-07-24T00:00:00"/>
    <n v="34"/>
  </r>
  <r>
    <x v="5"/>
    <x v="11"/>
    <x v="47"/>
    <x v="141"/>
    <n v="191634"/>
    <n v="1059706"/>
    <n v="9.5752199999999998"/>
    <n v="-83.809030000000007"/>
    <n v="2904"/>
    <s v="Low"/>
    <d v="2012-06-18T00:00:00"/>
    <d v="2012-08-08T00:00:00"/>
    <n v="52"/>
  </r>
  <r>
    <x v="22"/>
    <x v="11"/>
    <x v="47"/>
    <x v="141"/>
    <n v="190762"/>
    <n v="1060316"/>
    <n v="9.6122329999999998"/>
    <n v="-83.815899999999999"/>
    <n v="3067"/>
    <s v="Low"/>
    <d v="2013-06-22T00:00:00"/>
    <d v="2013-07-13T00:00:00"/>
    <n v="22"/>
  </r>
  <r>
    <x v="19"/>
    <x v="11"/>
    <x v="47"/>
    <x v="141"/>
    <n v="190894"/>
    <n v="1063791"/>
    <n v="9.6120669999999997"/>
    <n v="-83.816069999999996"/>
    <n v="3011"/>
    <s v="Low"/>
    <d v="2014-06-24T00:00:00"/>
    <d v="2014-07-22T00:00:00"/>
    <n v="29"/>
  </r>
  <r>
    <x v="40"/>
    <x v="11"/>
    <x v="47"/>
    <x v="142"/>
    <m/>
    <m/>
    <m/>
    <m/>
    <m/>
    <s v="Low"/>
    <d v="2011-06-16T00:00:00"/>
    <d v="2011-08-04T00:00:00"/>
    <n v="35"/>
  </r>
  <r>
    <x v="5"/>
    <x v="11"/>
    <x v="47"/>
    <x v="142"/>
    <n v="191030"/>
    <n v="1060030"/>
    <n v="9.5780999999999992"/>
    <n v="-83.814549999999997"/>
    <n v="3059"/>
    <s v="Low"/>
    <d v="2012-06-18T00:00:00"/>
    <d v="2012-08-08T00:00:00"/>
    <n v="52"/>
  </r>
  <r>
    <x v="40"/>
    <x v="11"/>
    <x v="47"/>
    <x v="143"/>
    <m/>
    <m/>
    <m/>
    <m/>
    <m/>
    <s v="Low"/>
    <d v="2011-07-11T00:00:00"/>
    <d v="2011-08-04T00:00:00"/>
    <n v="25"/>
  </r>
  <r>
    <x v="5"/>
    <x v="11"/>
    <x v="47"/>
    <x v="143"/>
    <n v="190763"/>
    <n v="1061395"/>
    <n v="9.5904199999999999"/>
    <n v="-83.817080000000004"/>
    <n v="3118"/>
    <s v="Low"/>
    <d v="2012-06-18T00:00:00"/>
    <d v="2012-08-08T00:00:00"/>
    <n v="52"/>
  </r>
  <r>
    <x v="22"/>
    <x v="11"/>
    <x v="47"/>
    <x v="143"/>
    <n v="190654"/>
    <n v="1061765"/>
    <n v="9.602233"/>
    <n v="-83.821200000000005"/>
    <n v="3088"/>
    <s v="Low"/>
    <d v="2013-06-28T00:00:00"/>
    <d v="2013-07-06T00:00:00"/>
    <n v="9"/>
  </r>
  <r>
    <x v="19"/>
    <x v="11"/>
    <x v="47"/>
    <x v="143"/>
    <n v="190314"/>
    <n v="1062702"/>
    <n v="9.6021870000000007"/>
    <n v="-83.821268000000003"/>
    <n v="3029"/>
    <s v="Low"/>
    <d v="2014-06-30T00:00:00"/>
    <d v="2014-07-19T00:00:00"/>
    <n v="20"/>
  </r>
  <r>
    <x v="40"/>
    <x v="11"/>
    <x v="47"/>
    <x v="144"/>
    <m/>
    <m/>
    <m/>
    <m/>
    <m/>
    <s v="Low"/>
    <d v="2011-07-06T00:00:00"/>
    <d v="2011-08-04T00:00:00"/>
    <n v="25"/>
  </r>
  <r>
    <x v="5"/>
    <x v="11"/>
    <x v="47"/>
    <x v="144"/>
    <n v="190323"/>
    <n v="1062668"/>
    <n v="9.6018799999999995"/>
    <n v="-83.821179999999998"/>
    <n v="3039"/>
    <s v="Low"/>
    <d v="2012-06-18T00:00:00"/>
    <d v="2012-08-08T00:00:00"/>
    <n v="52"/>
  </r>
  <r>
    <x v="22"/>
    <x v="11"/>
    <x v="47"/>
    <x v="144"/>
    <n v="190323"/>
    <n v="1062674"/>
    <n v="9.601934"/>
    <n v="-83.821184000000002"/>
    <n v="3041"/>
    <s v="Low"/>
    <d v="2013-06-30T00:00:00"/>
    <d v="2013-07-01T00:00:00"/>
    <n v="2"/>
  </r>
  <r>
    <x v="43"/>
    <x v="11"/>
    <x v="48"/>
    <x v="145"/>
    <n v="190617"/>
    <n v="1055675"/>
    <n v="9.5387299999999993"/>
    <n v="-83.817980000000006"/>
    <n v="2104"/>
    <s v="High"/>
    <d v="2010-07-29T00:00:00"/>
    <d v="2010-08-05T00:00:00"/>
    <n v="8"/>
  </r>
  <r>
    <x v="43"/>
    <x v="11"/>
    <x v="49"/>
    <x v="145"/>
    <n v="192203"/>
    <n v="1056508"/>
    <n v="9.5463699999999996"/>
    <n v="-83.803619999999995"/>
    <n v="2297"/>
    <s v="Low"/>
    <d v="2010-06-25T00:00:00"/>
    <d v="2010-07-28T00:00:00"/>
    <n v="34"/>
  </r>
  <r>
    <x v="43"/>
    <x v="11"/>
    <x v="49"/>
    <x v="146"/>
    <n v="191658"/>
    <n v="1056650"/>
    <n v="9.5476200000000002"/>
    <n v="-83.808580000000006"/>
    <n v="2200"/>
    <s v="High"/>
    <d v="2010-06-25T00:00:00"/>
    <d v="2010-08-19T00:00:00"/>
    <n v="56"/>
  </r>
  <r>
    <x v="43"/>
    <x v="11"/>
    <x v="49"/>
    <x v="147"/>
    <n v="191661"/>
    <n v="1056578"/>
    <n v="9.54697"/>
    <n v="-83.808549999999997"/>
    <n v="2205"/>
    <s v="High"/>
    <d v="2010-06-25T00:00:00"/>
    <d v="2010-08-21T00:00:00"/>
    <n v="58"/>
  </r>
  <r>
    <x v="22"/>
    <x v="11"/>
    <x v="48"/>
    <x v="148"/>
    <n v="190607"/>
    <n v="1055722"/>
    <n v="9.5391519999999996"/>
    <n v="-83.818081000000006"/>
    <n v="2112"/>
    <s v="Low"/>
    <d v="2013-06-20T00:00:00"/>
    <d v="2013-07-09T00:00:00"/>
    <n v="20"/>
  </r>
  <r>
    <x v="5"/>
    <x v="11"/>
    <x v="48"/>
    <x v="149"/>
    <n v="190608"/>
    <n v="1055701"/>
    <n v="9.5389700000000008"/>
    <n v="-83.818070000000006"/>
    <n v="2114"/>
    <s v="High"/>
    <d v="2012-06-21T00:00:00"/>
    <d v="2012-08-07T00:00:00"/>
    <n v="48"/>
  </r>
  <r>
    <x v="40"/>
    <x v="11"/>
    <x v="48"/>
    <x v="150"/>
    <m/>
    <m/>
    <m/>
    <m/>
    <m/>
    <s v="High"/>
    <d v="2011-06-20T00:00:00"/>
    <d v="2011-07-29T00:00:00"/>
    <n v="40"/>
  </r>
  <r>
    <x v="19"/>
    <x v="11"/>
    <x v="50"/>
    <x v="151"/>
    <n v="193254"/>
    <n v="1058838"/>
    <n v="9.5674969999999995"/>
    <n v="-83.794220999999993"/>
    <n v="2677"/>
    <s v="Low"/>
    <d v="2014-06-28T00:00:00"/>
    <d v="2014-07-15T00:00:00"/>
    <n v="18"/>
  </r>
  <r>
    <x v="19"/>
    <x v="11"/>
    <x v="50"/>
    <x v="151"/>
    <n v="193254"/>
    <n v="1058838"/>
    <n v="9.5674969999999995"/>
    <n v="-83.794220999999993"/>
    <n v="2677"/>
    <s v="Low"/>
    <d v="2014-06-28T00:00:00"/>
    <d v="2014-07-15T00:00:00"/>
    <n v="18"/>
  </r>
  <r>
    <x v="5"/>
    <x v="11"/>
    <x v="50"/>
    <x v="152"/>
    <n v="192659"/>
    <n v="1056958"/>
    <n v="9.5504669999999994"/>
    <n v="-83.799499999999995"/>
    <n v="2514"/>
    <s v="Low"/>
    <d v="2012-06-22T00:00:00"/>
    <d v="2012-08-07T00:00:00"/>
    <n v="47"/>
  </r>
  <r>
    <x v="31"/>
    <x v="11"/>
    <x v="50"/>
    <x v="153"/>
    <n v="193300"/>
    <n v="1058849"/>
    <n v="9.5676000000000005"/>
    <n v="-83.793800000000005"/>
    <n v="2660"/>
    <s v="Low"/>
    <d v="2018-06-26T00:00:00"/>
    <d v="2018-07-21T00:00:00"/>
    <n v="26"/>
  </r>
  <r>
    <x v="31"/>
    <x v="11"/>
    <x v="50"/>
    <x v="153"/>
    <n v="193300"/>
    <n v="1058849"/>
    <n v="9.5676000000000005"/>
    <n v="-83.793800000000005"/>
    <n v="2660"/>
    <s v="Low"/>
    <m/>
    <m/>
    <n v="0"/>
  </r>
  <r>
    <x v="41"/>
    <x v="11"/>
    <x v="50"/>
    <x v="153"/>
    <n v="193300"/>
    <n v="1058849"/>
    <n v="9.5676000000000005"/>
    <n v="-83.793800000000005"/>
    <n v="2660"/>
    <s v="Low"/>
    <d v="2019-06-13T00:00:00"/>
    <d v="2019-07-03T00:00:00"/>
    <n v="21"/>
  </r>
  <r>
    <x v="31"/>
    <x v="11"/>
    <x v="50"/>
    <x v="154"/>
    <n v="194120"/>
    <n v="1058399"/>
    <n v="9.5635999999999992"/>
    <n v="-83.786299999999997"/>
    <n v="2849"/>
    <s v="Low"/>
    <d v="2018-06-26T00:00:00"/>
    <d v="2018-07-09T00:00:00"/>
    <n v="14"/>
  </r>
  <r>
    <x v="31"/>
    <x v="11"/>
    <x v="50"/>
    <x v="154"/>
    <n v="194120"/>
    <n v="1058399"/>
    <n v="9.5635999999999992"/>
    <n v="-83.786299999999997"/>
    <n v="2849"/>
    <s v="Low"/>
    <m/>
    <m/>
    <n v="0"/>
  </r>
  <r>
    <x v="41"/>
    <x v="11"/>
    <x v="50"/>
    <x v="154"/>
    <n v="194120"/>
    <n v="1058399"/>
    <n v="9.5635999999999992"/>
    <n v="-83.786299999999997"/>
    <n v="2849"/>
    <s v="Low"/>
    <d v="2019-06-13T00:00:00"/>
    <d v="2019-07-03T00:00:00"/>
    <n v="21"/>
  </r>
  <r>
    <x v="19"/>
    <x v="11"/>
    <x v="50"/>
    <x v="155"/>
    <n v="195212"/>
    <n v="1057441"/>
    <n v="9.5550189999999997"/>
    <n v="-83.776297"/>
    <n v="3012"/>
    <s v="Low"/>
    <d v="2014-07-22T00:00:00"/>
    <d v="2014-07-22T00:00:00"/>
    <n v="1"/>
  </r>
  <r>
    <x v="15"/>
    <x v="11"/>
    <x v="50"/>
    <x v="155"/>
    <n v="195212"/>
    <n v="1057441"/>
    <n v="9.5549999999999997"/>
    <n v="-83.776300000000006"/>
    <n v="3012"/>
    <s v="Low"/>
    <d v="2015-06-04T00:00:00"/>
    <d v="2015-06-18T00:00:00"/>
    <n v="15"/>
  </r>
  <r>
    <x v="16"/>
    <x v="11"/>
    <x v="50"/>
    <x v="155"/>
    <n v="195212"/>
    <n v="1057441"/>
    <n v="9.5550189999999997"/>
    <n v="-83.776297"/>
    <n v="3012"/>
    <s v="Low"/>
    <m/>
    <m/>
    <n v="0"/>
  </r>
  <r>
    <x v="20"/>
    <x v="11"/>
    <x v="50"/>
    <x v="155"/>
    <n v="195212"/>
    <n v="1057441"/>
    <n v="9.5549979999999994"/>
    <n v="-83.776297"/>
    <n v="3012"/>
    <s v="Low"/>
    <d v="2017-05-11T00:00:00"/>
    <d v="2017-06-07T00:00:00"/>
    <n v="28"/>
  </r>
  <r>
    <x v="20"/>
    <x v="11"/>
    <x v="50"/>
    <x v="155"/>
    <n v="195212"/>
    <n v="1057441"/>
    <n v="9.5549979999999994"/>
    <n v="-83.776297"/>
    <n v="3012"/>
    <s v="Low"/>
    <m/>
    <m/>
    <n v="0"/>
  </r>
  <r>
    <x v="31"/>
    <x v="11"/>
    <x v="50"/>
    <x v="155"/>
    <n v="195211"/>
    <n v="1057438"/>
    <n v="9.5549999999999997"/>
    <n v="-83.776300000000006"/>
    <n v="3012"/>
    <s v="Low"/>
    <d v="2018-06-26T00:00:00"/>
    <d v="2018-07-21T00:00:00"/>
    <n v="26"/>
  </r>
  <r>
    <x v="31"/>
    <x v="11"/>
    <x v="50"/>
    <x v="155"/>
    <n v="195211"/>
    <n v="1057438"/>
    <n v="9.5549999999999997"/>
    <n v="-83.776300000000006"/>
    <n v="3012"/>
    <s v="Low"/>
    <m/>
    <m/>
    <n v="0"/>
  </r>
  <r>
    <x v="41"/>
    <x v="11"/>
    <x v="50"/>
    <x v="155"/>
    <n v="195211"/>
    <n v="1057438"/>
    <n v="9.5549999999999997"/>
    <n v="-83.776300000000006"/>
    <n v="3012"/>
    <s v="Low"/>
    <d v="2019-06-13T00:00:00"/>
    <d v="2019-07-03T00:00:00"/>
    <n v="21"/>
  </r>
  <r>
    <x v="31"/>
    <x v="11"/>
    <x v="50"/>
    <x v="156"/>
    <n v="195039"/>
    <n v="1057871"/>
    <n v="9.5588999999999995"/>
    <n v="-83.777900000000002"/>
    <n v="3002"/>
    <s v="Low"/>
    <d v="2018-06-26T00:00:00"/>
    <d v="2018-07-21T00:00:00"/>
    <n v="26"/>
  </r>
  <r>
    <x v="31"/>
    <x v="11"/>
    <x v="50"/>
    <x v="156"/>
    <n v="195039"/>
    <n v="1057871"/>
    <n v="9.5588999999999995"/>
    <n v="-83.777900000000002"/>
    <n v="3002"/>
    <s v="Low"/>
    <m/>
    <m/>
    <n v="0"/>
  </r>
  <r>
    <x v="41"/>
    <x v="11"/>
    <x v="50"/>
    <x v="156"/>
    <n v="195039"/>
    <n v="1057871"/>
    <n v="9.5588999999999995"/>
    <n v="-83.777900000000002"/>
    <n v="3002"/>
    <s v="Low"/>
    <d v="2019-06-13T00:00:00"/>
    <d v="2019-07-03T00:00:00"/>
    <n v="21"/>
  </r>
  <r>
    <x v="22"/>
    <x v="11"/>
    <x v="50"/>
    <x v="157"/>
    <n v="193242"/>
    <n v="1058862"/>
    <n v="9.5677129999999995"/>
    <n v="-83.794331999999997"/>
    <n v="2648"/>
    <s v="Low"/>
    <d v="2013-07-22T00:00:00"/>
    <d v="2013-07-22T00:00:00"/>
    <n v="1"/>
  </r>
  <r>
    <x v="5"/>
    <x v="11"/>
    <x v="51"/>
    <x v="158"/>
    <n v="193536"/>
    <n v="1056746"/>
    <n v="9.5511999999999997"/>
    <n v="-83.790599999999998"/>
    <n v="2626"/>
    <s v="Low"/>
    <d v="2012-06-22T00:00:00"/>
    <d v="2012-08-07T00:00:00"/>
    <n v="47"/>
  </r>
  <r>
    <x v="40"/>
    <x v="11"/>
    <x v="50"/>
    <x v="159"/>
    <m/>
    <m/>
    <m/>
    <m/>
    <m/>
    <s v="Low"/>
    <d v="2011-06-16T00:00:00"/>
    <d v="2011-08-05T00:00:00"/>
    <n v="9"/>
  </r>
  <r>
    <x v="40"/>
    <x v="11"/>
    <x v="50"/>
    <x v="160"/>
    <m/>
    <m/>
    <m/>
    <m/>
    <m/>
    <s v="Low"/>
    <d v="2011-06-19T00:00:00"/>
    <d v="2011-07-19T00:00:00"/>
    <n v="27"/>
  </r>
  <r>
    <x v="40"/>
    <x v="11"/>
    <x v="50"/>
    <x v="161"/>
    <m/>
    <m/>
    <m/>
    <m/>
    <m/>
    <s v="Low"/>
    <d v="2011-06-16T00:00:00"/>
    <d v="2011-08-05T00:00:00"/>
    <n v="39"/>
  </r>
  <r>
    <x v="22"/>
    <x v="11"/>
    <x v="50"/>
    <x v="162"/>
    <n v="194386"/>
    <n v="1058362"/>
    <n v="9.5632789999999996"/>
    <n v="-83.783883000000003"/>
    <n v="2901"/>
    <s v="Low"/>
    <d v="2013-07-22T00:00:00"/>
    <d v="2013-07-25T00:00:00"/>
    <n v="4"/>
  </r>
  <r>
    <x v="15"/>
    <x v="11"/>
    <x v="50"/>
    <x v="162"/>
    <n v="194386"/>
    <n v="1058362"/>
    <n v="9.5632789999999996"/>
    <n v="-83.783882579999997"/>
    <n v="2901"/>
    <s v="Low"/>
    <d v="2015-06-03T00:00:00"/>
    <d v="2015-06-17T00:00:00"/>
    <n v="15"/>
  </r>
  <r>
    <x v="15"/>
    <x v="11"/>
    <x v="50"/>
    <x v="162"/>
    <n v="194386"/>
    <n v="1058362"/>
    <n v="9.5632789999999996"/>
    <n v="83.783883000000003"/>
    <n v="2901"/>
    <s v="Low"/>
    <d v="2015-06-03T00:00:00"/>
    <d v="2015-06-17T00:00:00"/>
    <n v="15"/>
  </r>
  <r>
    <x v="16"/>
    <x v="11"/>
    <x v="50"/>
    <x v="162"/>
    <n v="194386"/>
    <n v="1058362"/>
    <n v="9.5632789999999996"/>
    <n v="83.783883000000003"/>
    <n v="2901"/>
    <s v="Low"/>
    <m/>
    <m/>
    <n v="0"/>
  </r>
  <r>
    <x v="5"/>
    <x v="11"/>
    <x v="50"/>
    <x v="163"/>
    <n v="193087"/>
    <n v="1056379"/>
    <n v="9.5496999999999996"/>
    <n v="-83.785219999999995"/>
    <n v="2597"/>
    <s v="Low"/>
    <d v="2012-06-22T00:00:00"/>
    <d v="2012-08-07T00:00:00"/>
    <n v="47"/>
  </r>
  <r>
    <x v="43"/>
    <x v="11"/>
    <x v="52"/>
    <x v="164"/>
    <n v="190729"/>
    <n v="1063988"/>
    <n v="9.6138300000000001"/>
    <n v="-83.817580000000007"/>
    <n v="2948"/>
    <s v="Low"/>
    <d v="2010-07-28T00:00:00"/>
    <m/>
    <n v="0"/>
  </r>
  <r>
    <x v="43"/>
    <x v="11"/>
    <x v="53"/>
    <x v="165"/>
    <n v="192715"/>
    <n v="1056706"/>
    <n v="9.5481999999999996"/>
    <n v="-83.798969999999997"/>
    <n v="2448"/>
    <s v="High"/>
    <d v="2010-07-01T00:00:00"/>
    <d v="2010-07-05T00:00:00"/>
    <n v="0"/>
  </r>
  <r>
    <x v="7"/>
    <x v="11"/>
    <x v="41"/>
    <x v="166"/>
    <n v="193536"/>
    <n v="1056746"/>
    <n v="9.5486330000000006"/>
    <n v="-83.791583000000003"/>
    <n v="2626"/>
    <s v="High"/>
    <d v="2012-08-14T00:00:00"/>
    <d v="2012-12-27T00:00:00"/>
    <n v="136"/>
  </r>
  <r>
    <x v="39"/>
    <x v="11"/>
    <x v="41"/>
    <x v="166"/>
    <n v="193536"/>
    <n v="1056746"/>
    <n v="9.5486330000000006"/>
    <n v="-83.791583000000003"/>
    <n v="2626"/>
    <s v="High"/>
    <d v="2012-01-16T00:00:00"/>
    <d v="2012-04-09T00:00:00"/>
    <n v="85"/>
  </r>
  <r>
    <x v="2"/>
    <x v="11"/>
    <x v="41"/>
    <x v="166"/>
    <n v="193536"/>
    <n v="1056746"/>
    <n v="9.5486330000000006"/>
    <n v="-83.791583000000003"/>
    <n v="2626"/>
    <s v="High"/>
    <d v="2013-01-12T00:00:00"/>
    <d v="2013-06-02T00:00:00"/>
    <n v="142"/>
  </r>
  <r>
    <x v="40"/>
    <x v="11"/>
    <x v="41"/>
    <x v="166"/>
    <n v="193536"/>
    <n v="1056746"/>
    <n v="9.5486299999999993"/>
    <n v="-83.791579999999996"/>
    <n v="2626"/>
    <s v="High"/>
    <d v="2011-04-13T00:00:00"/>
    <d v="2011-07-20T00:00:00"/>
    <n v="31"/>
  </r>
  <r>
    <x v="5"/>
    <x v="11"/>
    <x v="41"/>
    <x v="166"/>
    <n v="193536"/>
    <n v="1056746"/>
    <n v="9.5486299999999993"/>
    <n v="-83.791579999999996"/>
    <n v="2626"/>
    <s v="High"/>
    <d v="2012-06-19T00:00:00"/>
    <d v="2012-08-10T00:00:00"/>
    <n v="53"/>
  </r>
  <r>
    <x v="7"/>
    <x v="11"/>
    <x v="41"/>
    <x v="167"/>
    <n v="192868"/>
    <n v="1057081"/>
    <n v="9.5515170000000005"/>
    <n v="-83.797416999999996"/>
    <n v="2556"/>
    <s v="High"/>
    <d v="2012-08-17T00:00:00"/>
    <d v="2012-12-05T00:00:00"/>
    <n v="111"/>
  </r>
  <r>
    <x v="2"/>
    <x v="11"/>
    <x v="41"/>
    <x v="167"/>
    <n v="192868"/>
    <n v="1057081"/>
    <n v="9.5515170000000005"/>
    <n v="-83.797416999999996"/>
    <n v="2556"/>
    <s v="High"/>
    <d v="2013-01-02T00:00:00"/>
    <d v="2013-06-14T00:00:00"/>
    <n v="164"/>
  </r>
  <r>
    <x v="42"/>
    <x v="11"/>
    <x v="54"/>
    <x v="168"/>
    <m/>
    <m/>
    <m/>
    <m/>
    <m/>
    <s v="Low"/>
    <d v="2011-03-13T00:00:00"/>
    <d v="2011-03-21T00:00:00"/>
    <n v="0"/>
  </r>
  <r>
    <x v="38"/>
    <x v="11"/>
    <x v="37"/>
    <x v="169"/>
    <n v="186462"/>
    <n v="1064091"/>
    <n v="9.6145300000000002"/>
    <n v="-83.856369999999998"/>
    <n v="3101"/>
    <s v="Low"/>
    <m/>
    <m/>
    <n v="0"/>
  </r>
  <r>
    <x v="7"/>
    <x v="11"/>
    <x v="37"/>
    <x v="169"/>
    <n v="186462"/>
    <n v="1064091"/>
    <n v="9.6145329999999998"/>
    <n v="-83.856367000000006"/>
    <n v="3101"/>
    <s v="Low"/>
    <d v="2012-08-19T00:00:00"/>
    <d v="2013-01-06T00:00:00"/>
    <n v="141"/>
  </r>
  <r>
    <x v="0"/>
    <x v="11"/>
    <x v="37"/>
    <x v="169"/>
    <n v="186462"/>
    <n v="1064091"/>
    <n v="9.6145329999999998"/>
    <n v="-83.856367000000006"/>
    <n v="3101"/>
    <s v="Low"/>
    <d v="2013-07-30T00:00:00"/>
    <d v="2013-12-18T00:00:00"/>
    <n v="142"/>
  </r>
  <r>
    <x v="18"/>
    <x v="11"/>
    <x v="37"/>
    <x v="169"/>
    <n v="186470"/>
    <n v="1064101"/>
    <n v="9.6145329999999998"/>
    <n v="-83.856367000000006"/>
    <n v="3087"/>
    <s v="Low"/>
    <d v="2016-07-01T00:00:00"/>
    <d v="2016-11-05T00:00:00"/>
    <n v="128"/>
  </r>
  <r>
    <x v="11"/>
    <x v="11"/>
    <x v="37"/>
    <x v="169"/>
    <n v="186470"/>
    <n v="1064101"/>
    <n v="9.6145329999999998"/>
    <n v="-83.856367000000006"/>
    <n v="3087"/>
    <s v="Low"/>
    <d v="2017-06-06T00:00:00"/>
    <d v="2017-09-05T00:00:00"/>
    <n v="0"/>
  </r>
  <r>
    <x v="39"/>
    <x v="11"/>
    <x v="37"/>
    <x v="169"/>
    <n v="186462"/>
    <n v="1064091"/>
    <n v="9.6145329999999998"/>
    <n v="-83.856367000000006"/>
    <n v="3101"/>
    <s v="Low"/>
    <m/>
    <m/>
    <n v="0"/>
  </r>
  <r>
    <x v="2"/>
    <x v="11"/>
    <x v="37"/>
    <x v="169"/>
    <n v="186462"/>
    <n v="1064091"/>
    <n v="9.6145329999999998"/>
    <n v="-83.856367000000006"/>
    <n v="3101"/>
    <s v="Low"/>
    <d v="2013-01-07T00:00:00"/>
    <d v="2013-06-19T00:00:00"/>
    <n v="164"/>
  </r>
  <r>
    <x v="3"/>
    <x v="11"/>
    <x v="37"/>
    <x v="169"/>
    <n v="186470"/>
    <n v="1064101"/>
    <n v="9.6145329999999998"/>
    <n v="-83.856367000000006"/>
    <n v="3087"/>
    <s v="Low"/>
    <d v="2014-01-05T00:00:00"/>
    <d v="2014-05-11T00:00:00"/>
    <n v="127"/>
  </r>
  <r>
    <x v="4"/>
    <x v="11"/>
    <x v="37"/>
    <x v="169"/>
    <n v="186470"/>
    <n v="1064101"/>
    <n v="9.6145329999999998"/>
    <n v="-83.856367000000006"/>
    <n v="3087"/>
    <s v="Low"/>
    <d v="2014-12-22T00:00:00"/>
    <d v="2015-02-11T00:00:00"/>
    <n v="52"/>
  </r>
  <r>
    <x v="12"/>
    <x v="11"/>
    <x v="37"/>
    <x v="169"/>
    <n v="186470"/>
    <n v="1064101"/>
    <n v="9.6145329999999998"/>
    <n v="-83.856367000000006"/>
    <n v="3087"/>
    <s v="Low"/>
    <d v="2016-03-24T00:00:00"/>
    <d v="2016-06-05T00:00:00"/>
    <n v="74"/>
  </r>
  <r>
    <x v="13"/>
    <x v="11"/>
    <x v="37"/>
    <x v="169"/>
    <n v="186470"/>
    <n v="1064101"/>
    <n v="9.6145329999999998"/>
    <n v="-83.856367000000006"/>
    <n v="3087"/>
    <s v="Low"/>
    <d v="2017-03-24T00:00:00"/>
    <d v="2017-06-05T00:00:00"/>
    <n v="0"/>
  </r>
  <r>
    <x v="2"/>
    <x v="11"/>
    <x v="43"/>
    <x v="170"/>
    <n v="190772"/>
    <n v="1057154"/>
    <n v="9.5520999999999994"/>
    <n v="-83.816682999999998"/>
    <n v="2388"/>
    <s v="Low"/>
    <d v="2013-01-13T00:00:00"/>
    <d v="2013-07-25T00:00:00"/>
    <n v="194"/>
  </r>
  <r>
    <x v="7"/>
    <x v="11"/>
    <x v="41"/>
    <x v="171"/>
    <n v="192846"/>
    <n v="1055940"/>
    <n v="9.5412499999999998"/>
    <n v="-83.797683000000006"/>
    <n v="2500"/>
    <s v="High"/>
    <d v="2012-09-30T00:00:00"/>
    <d v="2012-12-11T00:00:00"/>
    <n v="0"/>
  </r>
  <r>
    <x v="39"/>
    <x v="11"/>
    <x v="41"/>
    <x v="171"/>
    <n v="192846"/>
    <n v="1055940"/>
    <n v="9.5412499999999998"/>
    <n v="-83.797683000000006"/>
    <n v="2500"/>
    <s v="High"/>
    <m/>
    <m/>
    <n v="0"/>
  </r>
  <r>
    <x v="2"/>
    <x v="11"/>
    <x v="41"/>
    <x v="171"/>
    <n v="192846"/>
    <n v="1055940"/>
    <n v="9.5412499999999998"/>
    <n v="-83.797683000000006"/>
    <n v="2500"/>
    <s v="High"/>
    <d v="2012-09-30T00:00:00"/>
    <d v="2013-06-12T00:00:00"/>
    <n v="256"/>
  </r>
  <r>
    <x v="5"/>
    <x v="11"/>
    <x v="41"/>
    <x v="171"/>
    <n v="192846"/>
    <n v="1055940"/>
    <n v="9.5412499999999998"/>
    <n v="-83.79768"/>
    <n v="2500"/>
    <s v="High"/>
    <d v="2012-03-18T00:00:00"/>
    <d v="2012-08-10T00:00:00"/>
    <n v="146"/>
  </r>
  <r>
    <x v="2"/>
    <x v="11"/>
    <x v="41"/>
    <x v="172"/>
    <n v="193405"/>
    <n v="1057059"/>
    <n v="9.5455170000000003"/>
    <n v="-83.800533000000001"/>
    <n v="2595"/>
    <s v="High"/>
    <d v="2013-02-28T00:00:00"/>
    <d v="2013-06-14T00:00:00"/>
    <n v="107"/>
  </r>
  <r>
    <x v="2"/>
    <x v="11"/>
    <x v="41"/>
    <x v="173"/>
    <n v="193587"/>
    <n v="1056917"/>
    <n v="9.5501330000000006"/>
    <n v="-83.790599999999998"/>
    <n v="2586"/>
    <s v="High"/>
    <d v="2013-02-28T00:00:00"/>
    <d v="2013-06-14T00:00:00"/>
    <n v="107"/>
  </r>
  <r>
    <x v="40"/>
    <x v="11"/>
    <x v="49"/>
    <x v="174"/>
    <m/>
    <m/>
    <m/>
    <m/>
    <m/>
    <s v="High"/>
    <d v="2011-06-23T00:00:00"/>
    <d v="2011-07-18T00:00:00"/>
    <n v="26"/>
  </r>
  <r>
    <x v="40"/>
    <x v="11"/>
    <x v="38"/>
    <x v="174"/>
    <m/>
    <m/>
    <m/>
    <m/>
    <m/>
    <s v="Low"/>
    <d v="2011-07-19T00:00:00"/>
    <d v="2011-08-01T00:00:00"/>
    <n v="0"/>
  </r>
  <r>
    <x v="38"/>
    <x v="11"/>
    <x v="41"/>
    <x v="175"/>
    <n v="193089"/>
    <n v="1056275"/>
    <n v="9.5443300000000004"/>
    <n v="-83.795529999999999"/>
    <n v="2593"/>
    <s v="High"/>
    <m/>
    <m/>
    <n v="0"/>
  </r>
  <r>
    <x v="42"/>
    <x v="11"/>
    <x v="41"/>
    <x v="175"/>
    <n v="193089"/>
    <n v="1056275"/>
    <n v="9.5443300000000004"/>
    <n v="-83.795529999999999"/>
    <n v="2593"/>
    <s v="High"/>
    <m/>
    <m/>
    <n v="0"/>
  </r>
  <r>
    <x v="39"/>
    <x v="11"/>
    <x v="41"/>
    <x v="175"/>
    <n v="193087"/>
    <n v="1056379"/>
    <n v="9.5496999999999996"/>
    <n v="-83.785217000000003"/>
    <n v="2597"/>
    <s v="High"/>
    <m/>
    <m/>
    <n v="0"/>
  </r>
  <r>
    <x v="2"/>
    <x v="11"/>
    <x v="41"/>
    <x v="175"/>
    <n v="193087"/>
    <n v="1056379"/>
    <n v="9.5496999999999996"/>
    <n v="-83.785217000000003"/>
    <n v="2597"/>
    <s v="High"/>
    <d v="2013-03-01T00:00:00"/>
    <d v="2013-06-12T00:00:00"/>
    <n v="104"/>
  </r>
  <r>
    <x v="43"/>
    <x v="11"/>
    <x v="41"/>
    <x v="175"/>
    <n v="193089"/>
    <n v="1056275"/>
    <n v="9.5443300000000004"/>
    <n v="-83.795529999999999"/>
    <n v="2593"/>
    <s v="High"/>
    <d v="2010-07-15T00:00:00"/>
    <d v="2010-08-02T00:00:00"/>
    <n v="19"/>
  </r>
  <r>
    <x v="40"/>
    <x v="11"/>
    <x v="41"/>
    <x v="175"/>
    <n v="193089"/>
    <n v="1056275"/>
    <n v="9.5443300000000004"/>
    <n v="-83.795529999999999"/>
    <n v="2593"/>
    <s v="High"/>
    <d v="2011-04-13T00:00:00"/>
    <d v="2011-07-07T00:00:00"/>
    <n v="11"/>
  </r>
  <r>
    <x v="38"/>
    <x v="11"/>
    <x v="53"/>
    <x v="176"/>
    <n v="192541"/>
    <n v="1056411"/>
    <n v="9.5455199999999998"/>
    <n v="-83.800529999999995"/>
    <n v="2397"/>
    <s v="High"/>
    <m/>
    <m/>
    <n v="0"/>
  </r>
  <r>
    <x v="7"/>
    <x v="11"/>
    <x v="41"/>
    <x v="176"/>
    <n v="193405"/>
    <n v="1057059"/>
    <n v="9.5514329999999994"/>
    <n v="-83.792716999999996"/>
    <n v="2595"/>
    <s v="High"/>
    <d v="2012-09-29T00:00:00"/>
    <d v="2012-11-07T00:00:00"/>
    <n v="40"/>
  </r>
  <r>
    <x v="42"/>
    <x v="11"/>
    <x v="53"/>
    <x v="176"/>
    <n v="192541"/>
    <n v="1056411"/>
    <n v="9.5455199999999998"/>
    <n v="-83.800529999999995"/>
    <n v="2397"/>
    <s v="High"/>
    <m/>
    <m/>
    <n v="0"/>
  </r>
  <r>
    <x v="39"/>
    <x v="11"/>
    <x v="41"/>
    <x v="176"/>
    <n v="193405"/>
    <n v="1057059"/>
    <n v="9.5514329999999994"/>
    <n v="-83.792716999999996"/>
    <n v="2595"/>
    <s v="High"/>
    <d v="2012-03-01T00:00:00"/>
    <d v="2012-04-08T00:00:00"/>
    <n v="39"/>
  </r>
  <r>
    <x v="2"/>
    <x v="11"/>
    <x v="41"/>
    <x v="176"/>
    <n v="193405"/>
    <n v="1057059"/>
    <n v="9.5514329999999994"/>
    <n v="-83.792716999999996"/>
    <n v="2595"/>
    <s v="High"/>
    <d v="2013-01-06T00:00:00"/>
    <d v="2013-05-08T00:00:00"/>
    <n v="123"/>
  </r>
  <r>
    <x v="43"/>
    <x v="11"/>
    <x v="53"/>
    <x v="176"/>
    <n v="192541"/>
    <n v="1056411"/>
    <n v="9.5455199999999998"/>
    <n v="-83.800529999999995"/>
    <n v="2397"/>
    <s v="High"/>
    <d v="2010-06-28T00:00:00"/>
    <d v="2010-07-16T00:00:00"/>
    <n v="0"/>
  </r>
  <r>
    <x v="5"/>
    <x v="11"/>
    <x v="53"/>
    <x v="176"/>
    <n v="192541"/>
    <n v="1056411"/>
    <n v="9.5455199999999998"/>
    <n v="-83.800529999999995"/>
    <n v="2397"/>
    <s v="High"/>
    <d v="2012-04-14T00:00:00"/>
    <d v="2012-08-10T00:00:00"/>
    <n v="119"/>
  </r>
  <r>
    <x v="40"/>
    <x v="11"/>
    <x v="53"/>
    <x v="176"/>
    <n v="192541"/>
    <n v="1056411"/>
    <n v="9.5455199999999998"/>
    <n v="-83.800529999999995"/>
    <n v="2397"/>
    <s v="High"/>
    <d v="2011-04-13T00:00:00"/>
    <d v="2011-05-29T00:00:00"/>
    <n v="15"/>
  </r>
  <r>
    <x v="38"/>
    <x v="11"/>
    <x v="41"/>
    <x v="177"/>
    <n v="193588"/>
    <n v="1057035"/>
    <n v="9.5512300000000003"/>
    <n v="-83.791049999999998"/>
    <n v="2621"/>
    <s v="High"/>
    <m/>
    <m/>
    <n v="0"/>
  </r>
  <r>
    <x v="42"/>
    <x v="11"/>
    <x v="41"/>
    <x v="177"/>
    <n v="193588"/>
    <n v="1057035"/>
    <n v="9.5512300000000003"/>
    <n v="-83.791049999999998"/>
    <n v="2621"/>
    <s v="High"/>
    <m/>
    <m/>
    <n v="0"/>
  </r>
  <r>
    <x v="43"/>
    <x v="11"/>
    <x v="41"/>
    <x v="177"/>
    <n v="193588"/>
    <n v="1057035"/>
    <n v="9.5512300000000003"/>
    <n v="-83.791049999999998"/>
    <n v="2621"/>
    <s v="High"/>
    <d v="2010-07-06T00:00:00"/>
    <d v="2010-07-27T00:00:00"/>
    <n v="22"/>
  </r>
  <r>
    <x v="40"/>
    <x v="11"/>
    <x v="41"/>
    <x v="177"/>
    <n v="193588"/>
    <n v="1057035"/>
    <n v="9.5512300000000003"/>
    <n v="-83.791049999999998"/>
    <n v="2621"/>
    <s v="High"/>
    <d v="2011-04-13T00:00:00"/>
    <d v="2011-08-04T00:00:00"/>
    <n v="47"/>
  </r>
  <r>
    <x v="38"/>
    <x v="11"/>
    <x v="41"/>
    <x v="178"/>
    <n v="193536"/>
    <n v="1056746"/>
    <n v="9.5486299999999993"/>
    <n v="-83.791579999999996"/>
    <n v="2626"/>
    <s v="High"/>
    <m/>
    <m/>
    <n v="0"/>
  </r>
  <r>
    <x v="0"/>
    <x v="11"/>
    <x v="53"/>
    <x v="178"/>
    <n v="192595"/>
    <n v="1056532"/>
    <n v="9.5464830000000003"/>
    <n v="-83.800133000000002"/>
    <n v="2388"/>
    <s v="High"/>
    <d v="2013-08-19T00:00:00"/>
    <d v="2013-12-25T00:00:00"/>
    <n v="129"/>
  </r>
  <r>
    <x v="1"/>
    <x v="11"/>
    <x v="41"/>
    <x v="178"/>
    <n v="192595"/>
    <n v="1056532"/>
    <n v="9.5464830000000003"/>
    <n v="-83.800133000000002"/>
    <n v="2388"/>
    <s v="High"/>
    <d v="2014-10-30T00:00:00"/>
    <d v="2014-11-18T00:00:00"/>
    <n v="20"/>
  </r>
  <r>
    <x v="18"/>
    <x v="11"/>
    <x v="41"/>
    <x v="178"/>
    <n v="192595"/>
    <n v="1056532"/>
    <n v="9.5464830000000003"/>
    <n v="-83.800133000000002"/>
    <n v="2388"/>
    <s v="High"/>
    <d v="2016-09-11T00:00:00"/>
    <d v="2016-11-26T00:00:00"/>
    <n v="77"/>
  </r>
  <r>
    <x v="11"/>
    <x v="11"/>
    <x v="41"/>
    <x v="178"/>
    <n v="192595"/>
    <n v="1056532"/>
    <n v="9.5464830000000003"/>
    <n v="-83.800133000000002"/>
    <n v="2388"/>
    <s v="High"/>
    <d v="2017-06-07T00:00:00"/>
    <d v="2018-01-01T00:00:00"/>
    <n v="20"/>
  </r>
  <r>
    <x v="29"/>
    <x v="11"/>
    <x v="41"/>
    <x v="178"/>
    <n v="192595"/>
    <n v="1056532"/>
    <n v="9.5464830000000003"/>
    <n v="-83.800133000000002"/>
    <n v="2388"/>
    <s v="High"/>
    <d v="2018-07-20T00:00:00"/>
    <d v="2018-08-21T00:00:00"/>
    <n v="33"/>
  </r>
  <r>
    <x v="29"/>
    <x v="11"/>
    <x v="41"/>
    <x v="178"/>
    <n v="192595"/>
    <n v="1056532"/>
    <n v="9.5464830000000003"/>
    <n v="-83.800133000000002"/>
    <n v="2388"/>
    <s v="High"/>
    <d v="2018-12-18T00:00:00"/>
    <d v="2019-01-30T00:00:00"/>
    <n v="44"/>
  </r>
  <r>
    <x v="2"/>
    <x v="11"/>
    <x v="41"/>
    <x v="178"/>
    <n v="192868"/>
    <n v="1057081"/>
    <n v="9.5464830000000003"/>
    <n v="-83.800133000000002"/>
    <n v="2556"/>
    <s v="High"/>
    <d v="2013-02-28T00:00:00"/>
    <d v="2013-06-22T00:00:00"/>
    <n v="115"/>
  </r>
  <r>
    <x v="3"/>
    <x v="11"/>
    <x v="53"/>
    <x v="178"/>
    <n v="192595"/>
    <n v="1056532"/>
    <n v="9.5464830000000003"/>
    <n v="-83.800133000000002"/>
    <n v="2388"/>
    <s v="High"/>
    <d v="2013-12-28T00:00:00"/>
    <d v="2014-04-14T00:00:00"/>
    <n v="108"/>
  </r>
  <r>
    <x v="4"/>
    <x v="11"/>
    <x v="41"/>
    <x v="178"/>
    <n v="192595"/>
    <n v="1056532"/>
    <n v="9.5464830000000003"/>
    <n v="-83.800133000000002"/>
    <n v="2388"/>
    <s v="High"/>
    <d v="2015-02-25T00:00:00"/>
    <d v="2015-03-05T00:00:00"/>
    <n v="9"/>
  </r>
  <r>
    <x v="12"/>
    <x v="11"/>
    <x v="41"/>
    <x v="178"/>
    <n v="192595"/>
    <n v="1056532"/>
    <n v="9.5464830000000003"/>
    <n v="-83.800133000000002"/>
    <n v="2388"/>
    <s v="High"/>
    <d v="2015-12-15T00:00:00"/>
    <d v="2016-03-25T00:00:00"/>
    <n v="102"/>
  </r>
  <r>
    <x v="13"/>
    <x v="11"/>
    <x v="41"/>
    <x v="178"/>
    <n v="192595"/>
    <n v="1056532"/>
    <n v="9.5464830000000003"/>
    <n v="-83.800133000000002"/>
    <n v="2388"/>
    <s v="High"/>
    <d v="2017-01-14T00:00:00"/>
    <d v="2017-04-09T00:00:00"/>
    <n v="34"/>
  </r>
  <r>
    <x v="14"/>
    <x v="11"/>
    <x v="41"/>
    <x v="178"/>
    <n v="192595"/>
    <n v="1056532"/>
    <n v="9.5464830000000003"/>
    <n v="-83.800133000000002"/>
    <n v="2388"/>
    <s v="High"/>
    <d v="2018-01-10T00:00:00"/>
    <d v="2018-06-23T00:00:00"/>
    <n v="92"/>
  </r>
  <r>
    <x v="28"/>
    <x v="11"/>
    <x v="41"/>
    <x v="178"/>
    <n v="192595"/>
    <n v="1056532"/>
    <n v="9.5464830000000003"/>
    <n v="-83.800133000000002"/>
    <n v="2388"/>
    <s v="High"/>
    <d v="2019-01-30T00:00:00"/>
    <d v="2019-02-15T00:00:00"/>
    <n v="17"/>
  </r>
  <r>
    <x v="28"/>
    <x v="11"/>
    <x v="41"/>
    <x v="178"/>
    <n v="192595"/>
    <n v="1056532"/>
    <n v="9.5464830000000003"/>
    <n v="-83.800133000000002"/>
    <n v="2388"/>
    <s v="High"/>
    <d v="2019-02-22T00:00:00"/>
    <d v="2019-02-22T00:00:00"/>
    <n v="1"/>
  </r>
  <r>
    <x v="28"/>
    <x v="11"/>
    <x v="41"/>
    <x v="178"/>
    <n v="192595"/>
    <n v="1056532"/>
    <n v="9.5464830000000003"/>
    <n v="-83.800133000000002"/>
    <n v="2388"/>
    <s v="High"/>
    <d v="2019-03-15T00:00:00"/>
    <d v="2019-03-21T00:00:00"/>
    <n v="7"/>
  </r>
  <r>
    <x v="28"/>
    <x v="11"/>
    <x v="41"/>
    <x v="178"/>
    <n v="192595"/>
    <n v="1056532"/>
    <n v="9.5464830000000003"/>
    <n v="-83.800133000000002"/>
    <n v="2388"/>
    <s v="High"/>
    <d v="2019-03-29T00:00:00"/>
    <d v="2019-04-19T00:00:00"/>
    <n v="22"/>
  </r>
  <r>
    <x v="22"/>
    <x v="11"/>
    <x v="53"/>
    <x v="178"/>
    <n v="192580"/>
    <n v="1056527"/>
    <n v="9.5464830000000003"/>
    <n v="-83.800133000000002"/>
    <n v="2381"/>
    <s v="High"/>
    <d v="2013-06-30T00:00:00"/>
    <d v="2013-08-03T00:00:00"/>
    <n v="35"/>
  </r>
  <r>
    <x v="19"/>
    <x v="11"/>
    <x v="53"/>
    <x v="178"/>
    <n v="192595"/>
    <n v="1056532"/>
    <n v="9.5464830000000003"/>
    <n v="-83.800133000000002"/>
    <n v="2388"/>
    <s v="High"/>
    <d v="2014-06-20T00:00:00"/>
    <d v="2014-07-26T00:00:00"/>
    <n v="37"/>
  </r>
  <r>
    <x v="15"/>
    <x v="11"/>
    <x v="41"/>
    <x v="178"/>
    <n v="192595"/>
    <n v="1056532"/>
    <n v="9.5464830000000003"/>
    <n v="-83.800133000000002"/>
    <n v="2388"/>
    <s v="High"/>
    <d v="2015-06-04T00:00:00"/>
    <d v="2015-06-24T00:00:00"/>
    <n v="21"/>
  </r>
  <r>
    <x v="16"/>
    <x v="11"/>
    <x v="41"/>
    <x v="178"/>
    <n v="192595"/>
    <n v="1056532"/>
    <n v="9.5464830000000003"/>
    <n v="-83.800133000000002"/>
    <n v="2388"/>
    <s v="High"/>
    <d v="2016-06-30T00:00:00"/>
    <d v="2016-09-10T00:00:00"/>
    <n v="46"/>
  </r>
  <r>
    <x v="20"/>
    <x v="11"/>
    <x v="41"/>
    <x v="178"/>
    <n v="192595"/>
    <n v="1056532"/>
    <n v="9.5464830000000003"/>
    <n v="-83.800133000000002"/>
    <n v="2388"/>
    <s v="High"/>
    <d v="2017-05-25T00:00:00"/>
    <d v="2017-06-07T00:00:00"/>
    <n v="14"/>
  </r>
  <r>
    <x v="31"/>
    <x v="11"/>
    <x v="41"/>
    <x v="178"/>
    <n v="192595"/>
    <n v="1056532"/>
    <n v="9.5464830000000003"/>
    <n v="-83.800133000000002"/>
    <n v="2388"/>
    <s v="High"/>
    <d v="2018-06-25T00:00:00"/>
    <d v="2018-07-20T00:00:00"/>
    <n v="26"/>
  </r>
  <r>
    <x v="31"/>
    <x v="11"/>
    <x v="41"/>
    <x v="178"/>
    <n v="192595"/>
    <n v="1056532"/>
    <n v="9.5464830000000003"/>
    <n v="-83.800133000000002"/>
    <n v="2388"/>
    <s v="High"/>
    <m/>
    <m/>
    <n v="0"/>
  </r>
  <r>
    <x v="41"/>
    <x v="11"/>
    <x v="41"/>
    <x v="178"/>
    <n v="192595"/>
    <n v="1056532"/>
    <n v="9.5464830000000003"/>
    <n v="-83.800133000000002"/>
    <n v="2388"/>
    <s v="High"/>
    <d v="2019-07-03T00:00:00"/>
    <d v="2019-07-16T00:00:00"/>
    <n v="14"/>
  </r>
  <r>
    <x v="1"/>
    <x v="11"/>
    <x v="41"/>
    <x v="179"/>
    <n v="192848"/>
    <n v="1055932"/>
    <n v="9.5412499999999998"/>
    <n v="-83.797667000000004"/>
    <n v="2527"/>
    <s v="High"/>
    <d v="2014-07-29T00:00:00"/>
    <d v="2015-01-02T00:00:00"/>
    <n v="158"/>
  </r>
  <r>
    <x v="18"/>
    <x v="11"/>
    <x v="41"/>
    <x v="179"/>
    <n v="192848"/>
    <n v="1055932"/>
    <n v="9.5412499999999998"/>
    <n v="-83.797667000000004"/>
    <n v="2527"/>
    <s v="High"/>
    <d v="2016-09-11T00:00:00"/>
    <d v="2017-01-13T00:00:00"/>
    <n v="125"/>
  </r>
  <r>
    <x v="11"/>
    <x v="11"/>
    <x v="41"/>
    <x v="179"/>
    <n v="192848"/>
    <n v="1055932"/>
    <n v="9.5412499999999998"/>
    <n v="-83.797667000000004"/>
    <n v="2527"/>
    <s v="High"/>
    <d v="2017-06-07T00:00:00"/>
    <d v="2018-01-01T00:00:00"/>
    <n v="193"/>
  </r>
  <r>
    <x v="29"/>
    <x v="11"/>
    <x v="41"/>
    <x v="179"/>
    <n v="192848"/>
    <n v="1055932"/>
    <n v="9.5412499999999998"/>
    <n v="-83.797667000000004"/>
    <n v="2527"/>
    <s v="High"/>
    <d v="2018-07-20T00:00:00"/>
    <d v="2018-12-18T00:00:00"/>
    <n v="152"/>
  </r>
  <r>
    <x v="29"/>
    <x v="11"/>
    <x v="41"/>
    <x v="179"/>
    <n v="192848"/>
    <n v="1055932"/>
    <n v="9.5412499999999998"/>
    <n v="-83.797667000000004"/>
    <n v="2527"/>
    <s v="High"/>
    <d v="2018-12-19T00:00:00"/>
    <d v="2019-01-30T00:00:00"/>
    <n v="43"/>
  </r>
  <r>
    <x v="2"/>
    <x v="11"/>
    <x v="41"/>
    <x v="179"/>
    <n v="192846"/>
    <n v="1055940"/>
    <n v="9.5412499999999998"/>
    <n v="-83.797667000000004"/>
    <n v="2500"/>
    <s v="High"/>
    <d v="2013-04-13T00:00:00"/>
    <d v="2013-06-15T00:00:00"/>
    <n v="64"/>
  </r>
  <r>
    <x v="3"/>
    <x v="11"/>
    <x v="41"/>
    <x v="179"/>
    <n v="192848"/>
    <n v="1055932"/>
    <n v="9.5412499999999998"/>
    <n v="-83.797667000000004"/>
    <n v="2527"/>
    <s v="High"/>
    <d v="2014-01-30T00:00:00"/>
    <d v="2014-05-14T00:00:00"/>
    <n v="105"/>
  </r>
  <r>
    <x v="4"/>
    <x v="11"/>
    <x v="41"/>
    <x v="179"/>
    <n v="192848"/>
    <n v="1055932"/>
    <n v="9.5412499999999998"/>
    <n v="-83.797667000000004"/>
    <n v="2527"/>
    <s v="High"/>
    <d v="2015-03-31T00:00:00"/>
    <d v="2015-06-01T00:00:00"/>
    <n v="63"/>
  </r>
  <r>
    <x v="12"/>
    <x v="11"/>
    <x v="41"/>
    <x v="179"/>
    <n v="192848"/>
    <n v="1055932"/>
    <n v="9.5412499999999998"/>
    <n v="-83.797667000000004"/>
    <n v="2527"/>
    <s v="High"/>
    <d v="2015-12-15T00:00:00"/>
    <d v="2016-03-25T00:00:00"/>
    <n v="102"/>
  </r>
  <r>
    <x v="13"/>
    <x v="11"/>
    <x v="41"/>
    <x v="179"/>
    <n v="192848"/>
    <n v="1055932"/>
    <n v="9.5412499999999998"/>
    <n v="-83.797667000000004"/>
    <n v="2527"/>
    <s v="High"/>
    <d v="2017-01-14T00:00:00"/>
    <d v="2017-03-28T00:00:00"/>
    <n v="62"/>
  </r>
  <r>
    <x v="14"/>
    <x v="11"/>
    <x v="41"/>
    <x v="179"/>
    <n v="192848"/>
    <n v="1055932"/>
    <n v="9.5412499999999998"/>
    <n v="-83.797667000000004"/>
    <n v="2527"/>
    <s v="High"/>
    <d v="2018-01-01T00:00:00"/>
    <d v="2018-06-25T00:00:00"/>
    <n v="176"/>
  </r>
  <r>
    <x v="28"/>
    <x v="11"/>
    <x v="41"/>
    <x v="179"/>
    <n v="192848"/>
    <n v="1055932"/>
    <n v="9.5412499999999998"/>
    <n v="-83.797667000000004"/>
    <n v="2527"/>
    <s v="High"/>
    <d v="2019-01-30T00:00:00"/>
    <d v="2019-02-22T00:00:00"/>
    <n v="24"/>
  </r>
  <r>
    <x v="28"/>
    <x v="11"/>
    <x v="41"/>
    <x v="179"/>
    <n v="192848"/>
    <n v="1055932"/>
    <n v="9.5412499999999998"/>
    <n v="-83.797667000000004"/>
    <n v="2527"/>
    <s v="High"/>
    <d v="2019-03-14T00:00:00"/>
    <d v="2019-03-29T00:00:00"/>
    <n v="16"/>
  </r>
  <r>
    <x v="22"/>
    <x v="11"/>
    <x v="41"/>
    <x v="179"/>
    <n v="192846"/>
    <n v="1055940"/>
    <n v="9.5412499999999998"/>
    <n v="-83.797667000000004"/>
    <n v="2500"/>
    <s v="High"/>
    <d v="2013-07-24T00:00:00"/>
    <d v="2013-07-24T00:00:00"/>
    <n v="1"/>
  </r>
  <r>
    <x v="19"/>
    <x v="11"/>
    <x v="41"/>
    <x v="179"/>
    <n v="192848"/>
    <n v="1055932"/>
    <n v="9.5412499999999998"/>
    <n v="-83.797667000000004"/>
    <n v="2527"/>
    <s v="High"/>
    <d v="2014-06-18T00:00:00"/>
    <d v="2014-07-26T00:00:00"/>
    <n v="39"/>
  </r>
  <r>
    <x v="15"/>
    <x v="11"/>
    <x v="41"/>
    <x v="179"/>
    <n v="192848"/>
    <n v="1055932"/>
    <n v="9.5412499999999998"/>
    <n v="-83.797667000000004"/>
    <n v="2527"/>
    <s v="High"/>
    <d v="2015-06-08T00:00:00"/>
    <d v="2015-06-16T00:00:00"/>
    <n v="9"/>
  </r>
  <r>
    <x v="16"/>
    <x v="11"/>
    <x v="41"/>
    <x v="179"/>
    <n v="192848"/>
    <n v="1055932"/>
    <n v="9.5412499999999998"/>
    <n v="-83.797667000000004"/>
    <n v="2527"/>
    <s v="High"/>
    <d v="2016-07-19T00:00:00"/>
    <d v="2016-09-10T00:00:00"/>
    <n v="54"/>
  </r>
  <r>
    <x v="20"/>
    <x v="11"/>
    <x v="41"/>
    <x v="179"/>
    <n v="192848"/>
    <n v="1055932"/>
    <n v="9.5412499999999998"/>
    <n v="-83.797667000000004"/>
    <n v="2527"/>
    <s v="High"/>
    <d v="2017-05-25T00:00:00"/>
    <d v="2017-06-07T00:00:00"/>
    <n v="14"/>
  </r>
  <r>
    <x v="31"/>
    <x v="11"/>
    <x v="41"/>
    <x v="179"/>
    <n v="192848"/>
    <n v="1055932"/>
    <n v="9.5412499999999998"/>
    <n v="-83.797667000000004"/>
    <n v="2527"/>
    <s v="High"/>
    <d v="2018-06-26T00:00:00"/>
    <d v="2018-07-20T00:00:00"/>
    <n v="25"/>
  </r>
  <r>
    <x v="31"/>
    <x v="11"/>
    <x v="41"/>
    <x v="179"/>
    <n v="192848"/>
    <n v="1055932"/>
    <n v="9.5412499999999998"/>
    <n v="-83.797667000000004"/>
    <n v="2527"/>
    <s v="High"/>
    <m/>
    <m/>
    <n v="0"/>
  </r>
  <r>
    <x v="41"/>
    <x v="11"/>
    <x v="41"/>
    <x v="179"/>
    <n v="192848"/>
    <n v="1055932"/>
    <n v="9.5412499999999998"/>
    <n v="-83.797667000000004"/>
    <n v="2527"/>
    <s v="High"/>
    <d v="2019-07-03T00:00:00"/>
    <d v="2019-08-16T00:00:00"/>
    <n v="45"/>
  </r>
  <r>
    <x v="7"/>
    <x v="11"/>
    <x v="41"/>
    <x v="180"/>
    <n v="193087"/>
    <n v="1056379"/>
    <n v="9.5443829999999998"/>
    <n v="-83.795567000000005"/>
    <n v="2597"/>
    <s v="High"/>
    <d v="2012-08-12T00:00:00"/>
    <d v="2012-12-28T00:00:00"/>
    <n v="139"/>
  </r>
  <r>
    <x v="18"/>
    <x v="11"/>
    <x v="41"/>
    <x v="180"/>
    <n v="193073"/>
    <n v="1056283"/>
    <n v="9.5443829999999998"/>
    <n v="-83.795567000000005"/>
    <n v="2596"/>
    <s v="High"/>
    <d v="2016-09-11T00:00:00"/>
    <d v="2017-01-14T00:00:00"/>
    <n v="126"/>
  </r>
  <r>
    <x v="11"/>
    <x v="11"/>
    <x v="41"/>
    <x v="180"/>
    <n v="193073"/>
    <n v="1056283"/>
    <n v="9.5443829999999998"/>
    <n v="-83.795567000000005"/>
    <n v="2596"/>
    <s v="High"/>
    <d v="2017-06-07T00:00:00"/>
    <d v="2018-01-01T00:00:00"/>
    <n v="133"/>
  </r>
  <r>
    <x v="29"/>
    <x v="11"/>
    <x v="41"/>
    <x v="180"/>
    <n v="193073"/>
    <n v="1056283"/>
    <n v="9.5443829999999998"/>
    <n v="-83.795567000000005"/>
    <n v="2596"/>
    <s v="High"/>
    <d v="2018-07-20T00:00:00"/>
    <d v="2018-12-18T00:00:00"/>
    <n v="152"/>
  </r>
  <r>
    <x v="5"/>
    <x v="11"/>
    <x v="41"/>
    <x v="180"/>
    <n v="193087"/>
    <n v="1056379"/>
    <n v="9.5443829999999998"/>
    <n v="-83.795567000000005"/>
    <n v="2597"/>
    <s v="High"/>
    <d v="2012-04-09T00:00:00"/>
    <d v="2012-08-12T00:00:00"/>
    <n v="126"/>
  </r>
  <r>
    <x v="39"/>
    <x v="11"/>
    <x v="41"/>
    <x v="180"/>
    <n v="193087"/>
    <n v="1056379"/>
    <n v="9.5443829999999998"/>
    <n v="-83.795567000000005"/>
    <n v="2597"/>
    <s v="High"/>
    <d v="2012-01-15T00:00:00"/>
    <d v="2012-04-09T00:00:00"/>
    <n v="86"/>
  </r>
  <r>
    <x v="2"/>
    <x v="11"/>
    <x v="41"/>
    <x v="180"/>
    <n v="193087"/>
    <n v="1056379"/>
    <n v="9.5443829999999998"/>
    <n v="-83.795567000000005"/>
    <n v="2597"/>
    <s v="High"/>
    <d v="2013-01-09T00:00:00"/>
    <d v="2013-06-12T00:00:00"/>
    <n v="155"/>
  </r>
  <r>
    <x v="3"/>
    <x v="11"/>
    <x v="41"/>
    <x v="180"/>
    <n v="193073"/>
    <n v="1056283"/>
    <n v="9.5443829999999998"/>
    <n v="-83.795567000000005"/>
    <n v="2596"/>
    <s v="High"/>
    <d v="2014-01-04T00:00:00"/>
    <d v="2014-06-02T00:00:00"/>
    <n v="150"/>
  </r>
  <r>
    <x v="4"/>
    <x v="11"/>
    <x v="41"/>
    <x v="180"/>
    <n v="193073"/>
    <n v="1056283"/>
    <n v="9.5443829999999998"/>
    <n v="-83.795567000000005"/>
    <n v="2596"/>
    <s v="High"/>
    <d v="2015-04-01T00:00:00"/>
    <d v="2015-06-03T00:00:00"/>
    <n v="64"/>
  </r>
  <r>
    <x v="12"/>
    <x v="11"/>
    <x v="41"/>
    <x v="180"/>
    <n v="193073"/>
    <n v="1056283"/>
    <n v="9.5443829999999998"/>
    <n v="-83.795567000000005"/>
    <n v="2596"/>
    <s v="High"/>
    <d v="2015-12-15T00:00:00"/>
    <d v="2016-03-25T00:00:00"/>
    <n v="102"/>
  </r>
  <r>
    <x v="13"/>
    <x v="11"/>
    <x v="41"/>
    <x v="180"/>
    <n v="193073"/>
    <n v="1056283"/>
    <n v="9.5443829999999998"/>
    <n v="-83.795567000000005"/>
    <n v="2596"/>
    <s v="High"/>
    <d v="2017-01-14T00:00:00"/>
    <d v="2017-03-28T00:00:00"/>
    <n v="74"/>
  </r>
  <r>
    <x v="14"/>
    <x v="11"/>
    <x v="41"/>
    <x v="180"/>
    <n v="193073"/>
    <n v="1056283"/>
    <n v="9.5443829999999998"/>
    <n v="-83.795567000000005"/>
    <n v="2596"/>
    <s v="High"/>
    <d v="2018-01-02T00:00:00"/>
    <d v="2018-06-25T00:00:00"/>
    <n v="175"/>
  </r>
  <r>
    <x v="28"/>
    <x v="11"/>
    <x v="41"/>
    <x v="180"/>
    <n v="193073"/>
    <n v="1056283"/>
    <n v="9.5443829999999998"/>
    <n v="-83.795567000000005"/>
    <n v="2596"/>
    <s v="High"/>
    <d v="2018-12-18T00:00:00"/>
    <d v="2019-01-28T00:00:00"/>
    <n v="42"/>
  </r>
  <r>
    <x v="28"/>
    <x v="11"/>
    <x v="41"/>
    <x v="180"/>
    <n v="193073"/>
    <n v="1056283"/>
    <n v="9.5443829999999998"/>
    <n v="-83.795567000000005"/>
    <n v="2596"/>
    <s v="High"/>
    <d v="2019-01-30T00:00:00"/>
    <d v="2019-02-22T00:00:00"/>
    <n v="24"/>
  </r>
  <r>
    <x v="28"/>
    <x v="11"/>
    <x v="41"/>
    <x v="180"/>
    <n v="193073"/>
    <n v="1056283"/>
    <n v="9.5443829999999998"/>
    <n v="-83.795567000000005"/>
    <n v="2596"/>
    <s v="High"/>
    <d v="2019-02-23T00:00:00"/>
    <d v="2019-03-14T00:00:00"/>
    <n v="20"/>
  </r>
  <r>
    <x v="28"/>
    <x v="11"/>
    <x v="41"/>
    <x v="180"/>
    <n v="193073"/>
    <n v="1056283"/>
    <n v="9.5443829999999998"/>
    <n v="-83.795567000000005"/>
    <n v="2596"/>
    <s v="High"/>
    <d v="2019-04-11T00:00:00"/>
    <d v="2019-06-12T00:00:00"/>
    <n v="63"/>
  </r>
  <r>
    <x v="22"/>
    <x v="11"/>
    <x v="41"/>
    <x v="180"/>
    <n v="193087"/>
    <n v="1056279"/>
    <n v="9.5443829999999998"/>
    <n v="-83.795567000000005"/>
    <n v="2597"/>
    <s v="High"/>
    <d v="2013-06-13T00:00:00"/>
    <d v="2013-07-16T00:00:00"/>
    <n v="34"/>
  </r>
  <r>
    <x v="19"/>
    <x v="11"/>
    <x v="41"/>
    <x v="180"/>
    <n v="193073"/>
    <n v="1056283"/>
    <n v="9.5443829999999998"/>
    <n v="-83.795567000000005"/>
    <n v="2596"/>
    <s v="High"/>
    <d v="2014-06-20T00:00:00"/>
    <d v="2014-07-24T00:00:00"/>
    <n v="35"/>
  </r>
  <r>
    <x v="15"/>
    <x v="11"/>
    <x v="41"/>
    <x v="180"/>
    <n v="193073"/>
    <n v="1056283"/>
    <n v="9.5443829999999998"/>
    <n v="-83.795567000000005"/>
    <n v="2596"/>
    <s v="High"/>
    <d v="2015-06-08T00:00:00"/>
    <d v="2015-06-26T00:00:00"/>
    <n v="19"/>
  </r>
  <r>
    <x v="16"/>
    <x v="11"/>
    <x v="41"/>
    <x v="180"/>
    <n v="193073"/>
    <n v="1056283"/>
    <n v="9.5443829999999998"/>
    <n v="-83.795567000000005"/>
    <n v="2596"/>
    <s v="High"/>
    <d v="2016-07-19T00:00:00"/>
    <d v="2016-09-10T00:00:00"/>
    <n v="54"/>
  </r>
  <r>
    <x v="20"/>
    <x v="11"/>
    <x v="41"/>
    <x v="180"/>
    <n v="193073"/>
    <n v="1056283"/>
    <n v="9.5443829999999998"/>
    <n v="-83.795567000000005"/>
    <n v="2596"/>
    <s v="High"/>
    <d v="2017-05-25T00:00:00"/>
    <d v="2017-06-07T00:00:00"/>
    <n v="14"/>
  </r>
  <r>
    <x v="31"/>
    <x v="11"/>
    <x v="41"/>
    <x v="180"/>
    <n v="193073"/>
    <n v="1056283"/>
    <n v="9.5443829999999998"/>
    <n v="-83.795567000000005"/>
    <n v="2596"/>
    <s v="High"/>
    <d v="2018-06-26T00:00:00"/>
    <d v="2018-07-20T00:00:00"/>
    <n v="25"/>
  </r>
  <r>
    <x v="31"/>
    <x v="11"/>
    <x v="41"/>
    <x v="180"/>
    <n v="193073"/>
    <n v="1056283"/>
    <n v="9.5443829999999998"/>
    <n v="-83.795567000000005"/>
    <n v="2596"/>
    <s v="High"/>
    <m/>
    <m/>
    <n v="0"/>
  </r>
  <r>
    <x v="41"/>
    <x v="11"/>
    <x v="41"/>
    <x v="180"/>
    <n v="193073"/>
    <n v="1056283"/>
    <n v="9.5443829999999998"/>
    <n v="-83.795567000000005"/>
    <n v="2596"/>
    <s v="High"/>
    <d v="2019-04-11T00:00:00"/>
    <d v="2019-06-12T00:00:00"/>
    <n v="63"/>
  </r>
  <r>
    <x v="41"/>
    <x v="11"/>
    <x v="41"/>
    <x v="180"/>
    <n v="193073"/>
    <n v="1056283"/>
    <n v="9.5443829999999998"/>
    <n v="-83.795567000000005"/>
    <n v="2596"/>
    <s v="High"/>
    <d v="2019-07-03T00:00:00"/>
    <d v="2019-08-16T00:00:00"/>
    <n v="45"/>
  </r>
  <r>
    <x v="0"/>
    <x v="11"/>
    <x v="41"/>
    <x v="181"/>
    <n v="193531"/>
    <n v="1056762"/>
    <n v="9.5485500000000005"/>
    <n v="-83.791499999999999"/>
    <n v="2637"/>
    <s v="High"/>
    <d v="2013-08-06T00:00:00"/>
    <d v="2013-10-01T00:00:00"/>
    <n v="57"/>
  </r>
  <r>
    <x v="1"/>
    <x v="11"/>
    <x v="41"/>
    <x v="181"/>
    <n v="193531"/>
    <n v="1056762"/>
    <n v="9.5485500000000005"/>
    <n v="-83.791499999999999"/>
    <n v="2637"/>
    <s v="High"/>
    <d v="2014-07-31T00:00:00"/>
    <d v="2014-11-22T00:00:00"/>
    <n v="115"/>
  </r>
  <r>
    <x v="18"/>
    <x v="11"/>
    <x v="41"/>
    <x v="181"/>
    <n v="193531"/>
    <n v="1056762"/>
    <n v="9.5485500000000005"/>
    <n v="-83.791499999999999"/>
    <n v="2637"/>
    <s v="High"/>
    <d v="2016-09-11T00:00:00"/>
    <d v="2016-12-15T00:00:00"/>
    <n v="96"/>
  </r>
  <r>
    <x v="11"/>
    <x v="11"/>
    <x v="41"/>
    <x v="181"/>
    <n v="193531"/>
    <n v="1056762"/>
    <n v="9.5485500000000005"/>
    <n v="-83.791499999999999"/>
    <n v="2637"/>
    <s v="High"/>
    <d v="2017-06-08T00:00:00"/>
    <d v="2018-01-01T00:00:00"/>
    <n v="181"/>
  </r>
  <r>
    <x v="29"/>
    <x v="11"/>
    <x v="41"/>
    <x v="181"/>
    <n v="193531"/>
    <n v="1056762"/>
    <n v="9.5485500000000005"/>
    <n v="-83.791499999999999"/>
    <n v="2637"/>
    <s v="High"/>
    <d v="2018-07-20T00:00:00"/>
    <d v="2018-08-04T00:00:00"/>
    <n v="16"/>
  </r>
  <r>
    <x v="29"/>
    <x v="11"/>
    <x v="41"/>
    <x v="181"/>
    <n v="193531"/>
    <n v="1056762"/>
    <n v="9.5485500000000005"/>
    <n v="-83.791499999999999"/>
    <n v="2637"/>
    <s v="High"/>
    <d v="2018-08-06T00:00:00"/>
    <d v="2018-08-26T00:00:00"/>
    <n v="21"/>
  </r>
  <r>
    <x v="29"/>
    <x v="11"/>
    <x v="41"/>
    <x v="181"/>
    <n v="193531"/>
    <n v="1056762"/>
    <n v="9.5485500000000005"/>
    <n v="-83.791499999999999"/>
    <n v="2637"/>
    <s v="High"/>
    <d v="2018-08-27T00:00:00"/>
    <d v="2018-10-19T00:00:00"/>
    <n v="54"/>
  </r>
  <r>
    <x v="29"/>
    <x v="11"/>
    <x v="41"/>
    <x v="181"/>
    <n v="193531"/>
    <n v="1056762"/>
    <n v="9.5485500000000005"/>
    <n v="-83.791499999999999"/>
    <n v="2637"/>
    <s v="High"/>
    <d v="2018-10-20T00:00:00"/>
    <d v="2018-11-15T00:00:00"/>
    <n v="27"/>
  </r>
  <r>
    <x v="29"/>
    <x v="11"/>
    <x v="41"/>
    <x v="181"/>
    <n v="193531"/>
    <n v="1056762"/>
    <n v="9.5485500000000005"/>
    <n v="-83.791499999999999"/>
    <n v="2637"/>
    <s v="High"/>
    <d v="2018-11-16T00:00:00"/>
    <d v="2018-12-03T00:00:00"/>
    <n v="18"/>
  </r>
  <r>
    <x v="29"/>
    <x v="11"/>
    <x v="41"/>
    <x v="181"/>
    <n v="193531"/>
    <n v="1056762"/>
    <n v="9.5485500000000005"/>
    <n v="-83.791499999999999"/>
    <n v="2637"/>
    <s v="High"/>
    <d v="2018-12-04T00:00:00"/>
    <d v="2018-12-18T00:00:00"/>
    <n v="15"/>
  </r>
  <r>
    <x v="29"/>
    <x v="11"/>
    <x v="41"/>
    <x v="181"/>
    <n v="193531"/>
    <n v="1056762"/>
    <n v="9.5485500000000005"/>
    <n v="-83.791499999999999"/>
    <n v="2637"/>
    <s v="High"/>
    <d v="2018-12-19T00:00:00"/>
    <d v="2018-12-19T00:00:00"/>
    <n v="1"/>
  </r>
  <r>
    <x v="29"/>
    <x v="11"/>
    <x v="41"/>
    <x v="181"/>
    <n v="193531"/>
    <n v="1056762"/>
    <n v="9.5485500000000005"/>
    <n v="-83.791499999999999"/>
    <n v="2637"/>
    <s v="High"/>
    <d v="2018-12-31T00:00:00"/>
    <d v="2019-01-01T00:00:00"/>
    <n v="2"/>
  </r>
  <r>
    <x v="29"/>
    <x v="11"/>
    <x v="41"/>
    <x v="181"/>
    <n v="193531"/>
    <n v="1056762"/>
    <n v="9.5485500000000005"/>
    <n v="-83.791499999999999"/>
    <n v="2637"/>
    <s v="High"/>
    <d v="2019-01-07T00:00:00"/>
    <d v="2019-01-30T00:00:00"/>
    <n v="24"/>
  </r>
  <r>
    <x v="2"/>
    <x v="11"/>
    <x v="41"/>
    <x v="181"/>
    <n v="193536"/>
    <n v="1056746"/>
    <n v="9.5485500000000005"/>
    <n v="-83.791499999999999"/>
    <n v="2626"/>
    <s v="High"/>
    <d v="2013-03-01T00:00:00"/>
    <d v="2013-06-24T00:00:00"/>
    <n v="116"/>
  </r>
  <r>
    <x v="3"/>
    <x v="11"/>
    <x v="41"/>
    <x v="181"/>
    <n v="193531"/>
    <n v="1056762"/>
    <n v="9.5485500000000005"/>
    <n v="-83.791499999999999"/>
    <n v="2637"/>
    <s v="High"/>
    <d v="2014-03-04T00:00:00"/>
    <d v="2014-06-17T00:00:00"/>
    <n v="106"/>
  </r>
  <r>
    <x v="4"/>
    <x v="11"/>
    <x v="41"/>
    <x v="181"/>
    <n v="193531"/>
    <n v="1056762"/>
    <n v="9.5485500000000005"/>
    <n v="-83.791499999999999"/>
    <n v="2637"/>
    <s v="High"/>
    <d v="2015-03-17T00:00:00"/>
    <d v="2015-03-17T00:00:00"/>
    <n v="1"/>
  </r>
  <r>
    <x v="12"/>
    <x v="11"/>
    <x v="41"/>
    <x v="181"/>
    <n v="193531"/>
    <n v="1056762"/>
    <n v="9.5485500000000005"/>
    <n v="-83.791499999999999"/>
    <n v="2637"/>
    <s v="High"/>
    <d v="2015-12-15T00:00:00"/>
    <d v="2016-03-25T00:00:00"/>
    <n v="102"/>
  </r>
  <r>
    <x v="13"/>
    <x v="11"/>
    <x v="41"/>
    <x v="181"/>
    <n v="193531"/>
    <n v="1056762"/>
    <n v="9.5485500000000005"/>
    <n v="-83.791499999999999"/>
    <n v="2637"/>
    <s v="High"/>
    <d v="2017-01-14T00:00:00"/>
    <d v="2017-03-28T00:00:00"/>
    <n v="74"/>
  </r>
  <r>
    <x v="14"/>
    <x v="11"/>
    <x v="41"/>
    <x v="181"/>
    <n v="193531"/>
    <n v="1056762"/>
    <n v="9.5485500000000005"/>
    <n v="-83.791499999999999"/>
    <n v="2637"/>
    <s v="High"/>
    <d v="2018-01-02T00:00:00"/>
    <d v="2018-06-25T00:00:00"/>
    <n v="103"/>
  </r>
  <r>
    <x v="28"/>
    <x v="11"/>
    <x v="41"/>
    <x v="181"/>
    <n v="193531"/>
    <n v="1056762"/>
    <n v="9.5485500000000005"/>
    <n v="-83.791499999999999"/>
    <n v="2637"/>
    <s v="High"/>
    <d v="2019-03-29T00:00:00"/>
    <d v="2019-04-07T00:00:00"/>
    <n v="10"/>
  </r>
  <r>
    <x v="28"/>
    <x v="11"/>
    <x v="41"/>
    <x v="181"/>
    <n v="193531"/>
    <n v="1056762"/>
    <n v="9.5485500000000005"/>
    <n v="-83.791499999999999"/>
    <n v="2637"/>
    <s v="High"/>
    <d v="2019-01-30T00:00:00"/>
    <d v="2019-02-22T00:00:00"/>
    <n v="24"/>
  </r>
  <r>
    <x v="28"/>
    <x v="11"/>
    <x v="41"/>
    <x v="181"/>
    <n v="193531"/>
    <n v="1056762"/>
    <n v="9.5485500000000005"/>
    <n v="-83.791499999999999"/>
    <n v="2637"/>
    <s v="High"/>
    <d v="2019-02-23T00:00:00"/>
    <d v="2019-03-14T00:00:00"/>
    <n v="20"/>
  </r>
  <r>
    <x v="28"/>
    <x v="11"/>
    <x v="41"/>
    <x v="181"/>
    <n v="193531"/>
    <n v="1056762"/>
    <n v="9.5485500000000005"/>
    <n v="-83.791499999999999"/>
    <n v="2637"/>
    <s v="High"/>
    <d v="2019-03-15T00:00:00"/>
    <d v="2019-03-29T00:00:00"/>
    <n v="15"/>
  </r>
  <r>
    <x v="28"/>
    <x v="11"/>
    <x v="41"/>
    <x v="181"/>
    <n v="193531"/>
    <n v="1056762"/>
    <n v="9.5485500000000005"/>
    <n v="-83.791499999999999"/>
    <n v="2637"/>
    <s v="High"/>
    <d v="2019-04-11T00:00:00"/>
    <d v="2019-06-12T00:00:00"/>
    <n v="63"/>
  </r>
  <r>
    <x v="22"/>
    <x v="11"/>
    <x v="41"/>
    <x v="181"/>
    <n v="193536"/>
    <n v="1056746"/>
    <n v="9.5485500000000005"/>
    <n v="-83.791499999999999"/>
    <n v="2626"/>
    <s v="High"/>
    <d v="2013-07-06T00:00:00"/>
    <d v="2013-08-01T00:00:00"/>
    <n v="27"/>
  </r>
  <r>
    <x v="19"/>
    <x v="11"/>
    <x v="41"/>
    <x v="181"/>
    <n v="193531"/>
    <n v="1056762"/>
    <n v="9.5485500000000005"/>
    <n v="-83.791499999999999"/>
    <n v="2637"/>
    <s v="High"/>
    <d v="2014-06-22T00:00:00"/>
    <d v="2014-07-20T00:00:00"/>
    <n v="29"/>
  </r>
  <r>
    <x v="15"/>
    <x v="11"/>
    <x v="41"/>
    <x v="181"/>
    <n v="193531"/>
    <n v="1056762"/>
    <n v="9.5485500000000005"/>
    <n v="-83.791499999999999"/>
    <n v="2637"/>
    <s v="High"/>
    <d v="2015-06-04T00:00:00"/>
    <d v="2015-06-16T00:00:00"/>
    <n v="13"/>
  </r>
  <r>
    <x v="16"/>
    <x v="11"/>
    <x v="41"/>
    <x v="181"/>
    <n v="193531"/>
    <n v="1056762"/>
    <n v="9.5485500000000005"/>
    <n v="-83.791499999999999"/>
    <n v="2637"/>
    <s v="High"/>
    <d v="2016-07-19T00:00:00"/>
    <d v="2016-09-10T00:00:00"/>
    <n v="48"/>
  </r>
  <r>
    <x v="20"/>
    <x v="11"/>
    <x v="41"/>
    <x v="181"/>
    <n v="193531"/>
    <n v="1056762"/>
    <n v="9.5485500000000005"/>
    <n v="-83.791499999999999"/>
    <n v="2637"/>
    <s v="High"/>
    <d v="2017-05-25T00:00:00"/>
    <d v="2017-06-07T00:00:00"/>
    <n v="14"/>
  </r>
  <r>
    <x v="31"/>
    <x v="11"/>
    <x v="41"/>
    <x v="181"/>
    <n v="193531"/>
    <n v="1056762"/>
    <n v="9.5485500000000005"/>
    <n v="-83.791499999999999"/>
    <n v="2637"/>
    <s v="High"/>
    <d v="2018-06-25T00:00:00"/>
    <d v="2018-07-20T00:00:00"/>
    <n v="26"/>
  </r>
  <r>
    <x v="31"/>
    <x v="11"/>
    <x v="41"/>
    <x v="181"/>
    <n v="193531"/>
    <n v="1056762"/>
    <n v="9.5485500000000005"/>
    <n v="-83.791499999999999"/>
    <n v="2637"/>
    <s v="High"/>
    <m/>
    <m/>
    <n v="0"/>
  </r>
  <r>
    <x v="41"/>
    <x v="11"/>
    <x v="41"/>
    <x v="181"/>
    <n v="193531"/>
    <n v="1056762"/>
    <n v="9.5485500000000005"/>
    <n v="-83.791499999999999"/>
    <n v="2637"/>
    <s v="High"/>
    <d v="2019-07-03T00:00:00"/>
    <d v="2019-08-16T00:00:00"/>
    <n v="45"/>
  </r>
  <r>
    <x v="38"/>
    <x v="11"/>
    <x v="41"/>
    <x v="182"/>
    <n v="193636"/>
    <n v="1056913"/>
    <n v="9.5501299999999993"/>
    <n v="-83.790599999999998"/>
    <n v="2610"/>
    <s v="High"/>
    <m/>
    <m/>
    <n v="0"/>
  </r>
  <r>
    <x v="5"/>
    <x v="11"/>
    <x v="41"/>
    <x v="182"/>
    <n v="193587"/>
    <n v="1056917"/>
    <n v="9.5501670000000001"/>
    <n v="-83.791049999999998"/>
    <n v="2586"/>
    <s v="High"/>
    <d v="2012-06-24T00:00:00"/>
    <d v="2012-08-10T00:00:00"/>
    <n v="48"/>
  </r>
  <r>
    <x v="7"/>
    <x v="11"/>
    <x v="41"/>
    <x v="182"/>
    <n v="193587"/>
    <n v="1056917"/>
    <n v="9.5501670000000001"/>
    <n v="-83.791049999999998"/>
    <n v="2586"/>
    <s v="High"/>
    <d v="2012-08-12T00:00:00"/>
    <d v="2012-12-03T00:00:00"/>
    <n v="114"/>
  </r>
  <r>
    <x v="0"/>
    <x v="11"/>
    <x v="41"/>
    <x v="182"/>
    <n v="193616"/>
    <n v="1056909"/>
    <n v="9.5501670000000001"/>
    <n v="-83.791049999999998"/>
    <n v="2602"/>
    <s v="High"/>
    <d v="2013-07-30T00:00:00"/>
    <d v="2013-12-18T00:00:00"/>
    <n v="142"/>
  </r>
  <r>
    <x v="1"/>
    <x v="11"/>
    <x v="41"/>
    <x v="182"/>
    <n v="193616"/>
    <n v="1056909"/>
    <n v="9.5501670000000001"/>
    <n v="-83.791049999999998"/>
    <n v="2602"/>
    <s v="High"/>
    <d v="2014-07-30T00:00:00"/>
    <d v="2014-11-19T00:00:00"/>
    <n v="113"/>
  </r>
  <r>
    <x v="18"/>
    <x v="11"/>
    <x v="41"/>
    <x v="182"/>
    <n v="193616"/>
    <n v="1056909"/>
    <n v="9.5501670000000001"/>
    <n v="-83.791049999999998"/>
    <n v="2602"/>
    <s v="High"/>
    <d v="2016-10-11T00:00:00"/>
    <d v="2016-12-17T00:00:00"/>
    <n v="68"/>
  </r>
  <r>
    <x v="11"/>
    <x v="11"/>
    <x v="41"/>
    <x v="182"/>
    <n v="193616"/>
    <n v="1056909"/>
    <n v="9.5501670000000001"/>
    <n v="-83.791049999999998"/>
    <n v="2602"/>
    <s v="High"/>
    <d v="2017-06-08T00:00:00"/>
    <d v="2018-01-01T00:00:00"/>
    <n v="193"/>
  </r>
  <r>
    <x v="29"/>
    <x v="11"/>
    <x v="41"/>
    <x v="182"/>
    <n v="193616"/>
    <n v="1056909"/>
    <n v="9.5501670000000001"/>
    <n v="-83.791049999999998"/>
    <n v="2602"/>
    <s v="High"/>
    <d v="2018-12-19T00:00:00"/>
    <d v="2018-12-30T00:00:00"/>
    <n v="12"/>
  </r>
  <r>
    <x v="42"/>
    <x v="11"/>
    <x v="41"/>
    <x v="182"/>
    <n v="193636"/>
    <n v="1056913"/>
    <n v="9.5501299999999993"/>
    <n v="-83.790599999999998"/>
    <n v="2610"/>
    <s v="High"/>
    <d v="2011-03-09T00:00:00"/>
    <d v="2011-05-17T00:00:00"/>
    <n v="70"/>
  </r>
  <r>
    <x v="39"/>
    <x v="11"/>
    <x v="41"/>
    <x v="182"/>
    <n v="193587"/>
    <n v="1056917"/>
    <n v="9.5501670000000001"/>
    <n v="-83.791049999999998"/>
    <n v="2586"/>
    <s v="High"/>
    <m/>
    <m/>
    <n v="0"/>
  </r>
  <r>
    <x v="2"/>
    <x v="11"/>
    <x v="41"/>
    <x v="182"/>
    <n v="193587"/>
    <n v="1056917"/>
    <n v="9.5501670000000001"/>
    <n v="-83.791049999999998"/>
    <n v="2586"/>
    <s v="High"/>
    <d v="2013-01-06T00:00:00"/>
    <d v="2013-06-22T00:00:00"/>
    <n v="168"/>
  </r>
  <r>
    <x v="3"/>
    <x v="11"/>
    <x v="41"/>
    <x v="182"/>
    <n v="193616"/>
    <n v="1056909"/>
    <n v="9.5501670000000001"/>
    <n v="-83.791049999999998"/>
    <n v="2602"/>
    <s v="High"/>
    <d v="2013-12-28T00:00:00"/>
    <d v="2014-05-29T00:00:00"/>
    <n v="153"/>
  </r>
  <r>
    <x v="4"/>
    <x v="11"/>
    <x v="41"/>
    <x v="182"/>
    <n v="193616"/>
    <n v="1056909"/>
    <n v="9.5501670000000001"/>
    <n v="-83.791049999999998"/>
    <n v="2602"/>
    <s v="High"/>
    <d v="2015-04-01T00:00:00"/>
    <d v="2015-05-26T00:00:00"/>
    <n v="56"/>
  </r>
  <r>
    <x v="12"/>
    <x v="11"/>
    <x v="41"/>
    <x v="182"/>
    <n v="193616"/>
    <n v="1056909"/>
    <n v="9.5501670000000001"/>
    <n v="-83.791049999999998"/>
    <n v="2602"/>
    <s v="High"/>
    <d v="2015-12-15T00:00:00"/>
    <d v="2016-03-25T00:00:00"/>
    <n v="102"/>
  </r>
  <r>
    <x v="13"/>
    <x v="11"/>
    <x v="41"/>
    <x v="182"/>
    <n v="193616"/>
    <n v="1056909"/>
    <n v="9.5501670000000001"/>
    <n v="-83.791049999999998"/>
    <n v="2602"/>
    <s v="High"/>
    <d v="2017-01-14T00:00:00"/>
    <d v="2017-03-28T00:00:00"/>
    <n v="74"/>
  </r>
  <r>
    <x v="14"/>
    <x v="11"/>
    <x v="41"/>
    <x v="182"/>
    <n v="193616"/>
    <n v="1056909"/>
    <n v="9.5501670000000001"/>
    <n v="-83.791049999999998"/>
    <n v="2602"/>
    <s v="High"/>
    <d v="2018-01-02T00:00:00"/>
    <d v="2018-06-25T00:00:00"/>
    <n v="137"/>
  </r>
  <r>
    <x v="28"/>
    <x v="11"/>
    <x v="41"/>
    <x v="182"/>
    <n v="193616"/>
    <n v="1056909"/>
    <n v="9.5501670000000001"/>
    <n v="-83.791049999999998"/>
    <n v="2602"/>
    <s v="High"/>
    <d v="2019-03-27T00:00:00"/>
    <d v="2019-03-29T00:00:00"/>
    <n v="3"/>
  </r>
  <r>
    <x v="28"/>
    <x v="11"/>
    <x v="41"/>
    <x v="182"/>
    <n v="193616"/>
    <n v="1056909"/>
    <n v="9.5501670000000001"/>
    <n v="-83.791049999999998"/>
    <n v="2602"/>
    <s v="High"/>
    <d v="2019-03-30T00:00:00"/>
    <d v="2019-04-11T00:00:00"/>
    <n v="13"/>
  </r>
  <r>
    <x v="28"/>
    <x v="11"/>
    <x v="41"/>
    <x v="182"/>
    <n v="193616"/>
    <n v="1056909"/>
    <n v="9.5501670000000001"/>
    <n v="-83.791049999999998"/>
    <n v="2602"/>
    <s v="High"/>
    <d v="2019-04-12T00:00:00"/>
    <d v="2019-04-29T00:00:00"/>
    <n v="18"/>
  </r>
  <r>
    <x v="43"/>
    <x v="11"/>
    <x v="41"/>
    <x v="182"/>
    <n v="193636"/>
    <n v="1056913"/>
    <n v="9.5501299999999993"/>
    <n v="-83.790599999999998"/>
    <n v="2610"/>
    <s v="High"/>
    <d v="2010-06-29T00:00:00"/>
    <d v="2010-08-09T00:00:00"/>
    <n v="42"/>
  </r>
  <r>
    <x v="40"/>
    <x v="11"/>
    <x v="41"/>
    <x v="182"/>
    <n v="193636"/>
    <n v="1056913"/>
    <n v="9.5501299999999993"/>
    <n v="-83.790599999999998"/>
    <n v="2610"/>
    <s v="High"/>
    <d v="2011-05-18T00:00:00"/>
    <d v="2011-06-21T00:00:00"/>
    <n v="18"/>
  </r>
  <r>
    <x v="22"/>
    <x v="11"/>
    <x v="41"/>
    <x v="182"/>
    <n v="193587"/>
    <n v="1056917"/>
    <n v="9.5501670000000001"/>
    <n v="-83.791049999999998"/>
    <n v="2586"/>
    <s v="High"/>
    <d v="2013-06-27T00:00:00"/>
    <d v="2013-07-29T00:00:00"/>
    <n v="33"/>
  </r>
  <r>
    <x v="19"/>
    <x v="11"/>
    <x v="41"/>
    <x v="182"/>
    <n v="193616"/>
    <n v="1056909"/>
    <n v="9.5501670000000001"/>
    <n v="-83.791049999999998"/>
    <n v="2602"/>
    <s v="High"/>
    <d v="2014-06-23T00:00:00"/>
    <d v="2014-07-10T00:00:00"/>
    <n v="18"/>
  </r>
  <r>
    <x v="15"/>
    <x v="11"/>
    <x v="41"/>
    <x v="182"/>
    <n v="193616"/>
    <n v="1056909"/>
    <n v="9.5501670000000001"/>
    <n v="-83.791049999999998"/>
    <n v="2602"/>
    <s v="High"/>
    <d v="2015-06-04T00:00:00"/>
    <d v="2015-06-23T00:00:00"/>
    <n v="20"/>
  </r>
  <r>
    <x v="16"/>
    <x v="11"/>
    <x v="41"/>
    <x v="182"/>
    <n v="193616"/>
    <n v="1056909"/>
    <n v="9.5501670000000001"/>
    <n v="-83.791049999999998"/>
    <n v="2602"/>
    <s v="High"/>
    <d v="2016-07-19T00:00:00"/>
    <d v="2016-09-10T00:00:00"/>
    <n v="48"/>
  </r>
  <r>
    <x v="20"/>
    <x v="11"/>
    <x v="41"/>
    <x v="182"/>
    <n v="193616"/>
    <n v="1056909"/>
    <n v="9.5501670000000001"/>
    <n v="-83.791049999999998"/>
    <n v="2605"/>
    <s v="High"/>
    <d v="2017-05-25T00:00:00"/>
    <d v="2017-06-07T00:00:00"/>
    <n v="14"/>
  </r>
  <r>
    <x v="31"/>
    <x v="11"/>
    <x v="41"/>
    <x v="182"/>
    <n v="193616"/>
    <n v="1056909"/>
    <n v="9.5501670000000001"/>
    <n v="-83.791049999999998"/>
    <n v="2602"/>
    <s v="High"/>
    <d v="2018-06-25T00:00:00"/>
    <d v="2018-07-18T00:00:00"/>
    <n v="24"/>
  </r>
  <r>
    <x v="31"/>
    <x v="11"/>
    <x v="41"/>
    <x v="182"/>
    <n v="193616"/>
    <n v="1056909"/>
    <n v="9.5501670000000001"/>
    <n v="-83.791049999999998"/>
    <n v="2602"/>
    <s v="High"/>
    <m/>
    <m/>
    <n v="0"/>
  </r>
  <r>
    <x v="41"/>
    <x v="11"/>
    <x v="41"/>
    <x v="182"/>
    <n v="193616"/>
    <n v="1056909"/>
    <n v="9.5501670000000001"/>
    <n v="-83.791049999999998"/>
    <n v="2602"/>
    <s v="High"/>
    <d v="2019-07-03T00:00:00"/>
    <d v="2019-08-16T00:00:00"/>
    <n v="45"/>
  </r>
  <r>
    <x v="38"/>
    <x v="11"/>
    <x v="41"/>
    <x v="183"/>
    <n v="192659"/>
    <n v="1056958"/>
    <n v="9.5504700000000007"/>
    <n v="-83.799499999999995"/>
    <n v="2514"/>
    <s v="High"/>
    <m/>
    <m/>
    <n v="0"/>
  </r>
  <r>
    <x v="38"/>
    <x v="11"/>
    <x v="39"/>
    <x v="183"/>
    <n v="193588"/>
    <n v="1057031"/>
    <n v="9.5511999999999997"/>
    <n v="-83.791049999999998"/>
    <n v="2621"/>
    <s v="Low"/>
    <d v="2011-08-06T00:00:00"/>
    <d v="2011-12-08T00:00:00"/>
    <n v="125"/>
  </r>
  <r>
    <x v="29"/>
    <x v="11"/>
    <x v="41"/>
    <x v="183"/>
    <n v="193444"/>
    <n v="1056986"/>
    <n v="9.5507849660000002"/>
    <n v="-83.792345999999995"/>
    <n v="2563"/>
    <s v="High"/>
    <m/>
    <m/>
    <n v="0"/>
  </r>
  <r>
    <x v="42"/>
    <x v="11"/>
    <x v="41"/>
    <x v="183"/>
    <n v="192659"/>
    <n v="1056958"/>
    <n v="9.5504700000000007"/>
    <n v="-83.799499999999995"/>
    <n v="2514"/>
    <s v="High"/>
    <m/>
    <m/>
    <n v="0"/>
  </r>
  <r>
    <x v="39"/>
    <x v="11"/>
    <x v="41"/>
    <x v="183"/>
    <n v="193536"/>
    <n v="1056746"/>
    <n v="9.5511999999999997"/>
    <n v="-83.790599999999998"/>
    <n v="2626"/>
    <s v="High"/>
    <m/>
    <m/>
    <n v="0"/>
  </r>
  <r>
    <x v="2"/>
    <x v="11"/>
    <x v="43"/>
    <x v="183"/>
    <n v="191793"/>
    <n v="1057051"/>
    <n v="9.5512499999999996"/>
    <n v="-83.807383000000002"/>
    <n v="2197"/>
    <s v="Low"/>
    <d v="2013-02-05T00:00:00"/>
    <d v="2013-04-04T00:00:00"/>
    <n v="59"/>
  </r>
  <r>
    <x v="2"/>
    <x v="11"/>
    <x v="41"/>
    <x v="183"/>
    <n v="193536"/>
    <n v="1056746"/>
    <n v="9.5511999999999997"/>
    <n v="-83.790599999999998"/>
    <n v="2626"/>
    <s v="High"/>
    <d v="2013-04-15T00:00:00"/>
    <d v="2013-06-10T00:00:00"/>
    <n v="57"/>
  </r>
  <r>
    <x v="28"/>
    <x v="11"/>
    <x v="41"/>
    <x v="183"/>
    <n v="193444"/>
    <n v="1056986"/>
    <n v="9.5507849660000002"/>
    <n v="-83.792345999999995"/>
    <n v="2563"/>
    <s v="High"/>
    <d v="2019-02-22T00:00:00"/>
    <d v="2019-03-14T00:00:00"/>
    <n v="21"/>
  </r>
  <r>
    <x v="28"/>
    <x v="11"/>
    <x v="41"/>
    <x v="183"/>
    <n v="193444"/>
    <n v="1056986"/>
    <n v="9.5507849660000002"/>
    <n v="-83.792345999999995"/>
    <n v="2563"/>
    <s v="High"/>
    <d v="2019-03-29T00:00:00"/>
    <d v="2019-04-11T00:00:00"/>
    <n v="14"/>
  </r>
  <r>
    <x v="28"/>
    <x v="11"/>
    <x v="41"/>
    <x v="183"/>
    <n v="193444"/>
    <n v="1056986"/>
    <n v="9.5507849660000002"/>
    <n v="-83.792345999999995"/>
    <n v="2563"/>
    <s v="High"/>
    <d v="2019-04-12T00:00:00"/>
    <d v="2019-05-23T00:00:00"/>
    <n v="42"/>
  </r>
  <r>
    <x v="43"/>
    <x v="11"/>
    <x v="41"/>
    <x v="183"/>
    <n v="192659"/>
    <n v="1056958"/>
    <n v="9.5504700000000007"/>
    <n v="-83.799499999999995"/>
    <n v="2514"/>
    <s v="High"/>
    <d v="2010-06-28T00:00:00"/>
    <m/>
    <n v="0"/>
  </r>
  <r>
    <x v="43"/>
    <x v="11"/>
    <x v="41"/>
    <x v="183"/>
    <n v="193588"/>
    <n v="1057031"/>
    <n v="9.5511999999999997"/>
    <n v="-83.791049999999998"/>
    <n v="2621"/>
    <s v="High"/>
    <d v="2010-07-06T00:00:00"/>
    <d v="2010-07-22T00:00:00"/>
    <n v="17"/>
  </r>
  <r>
    <x v="40"/>
    <x v="11"/>
    <x v="41"/>
    <x v="183"/>
    <n v="192659"/>
    <n v="1056958"/>
    <n v="9.5504700000000007"/>
    <n v="-83.799499999999995"/>
    <n v="2514"/>
    <s v="High"/>
    <d v="2011-03-14T00:00:00"/>
    <d v="2011-06-28T00:00:00"/>
    <n v="0"/>
  </r>
  <r>
    <x v="31"/>
    <x v="11"/>
    <x v="55"/>
    <x v="183"/>
    <n v="193444"/>
    <n v="1056986"/>
    <n v="9.5507849660000002"/>
    <n v="-83.792345999999995"/>
    <n v="2563"/>
    <m/>
    <d v="2018-06-28T00:00:00"/>
    <d v="2018-07-20T00:00:00"/>
    <n v="23"/>
  </r>
  <r>
    <x v="31"/>
    <x v="11"/>
    <x v="41"/>
    <x v="183"/>
    <n v="193444"/>
    <n v="1056986"/>
    <n v="9.5507849660000002"/>
    <n v="-83.792345999999995"/>
    <n v="2563"/>
    <s v="High"/>
    <m/>
    <m/>
    <n v="0"/>
  </r>
  <r>
    <x v="41"/>
    <x v="11"/>
    <x v="41"/>
    <x v="183"/>
    <n v="193444"/>
    <n v="1056986"/>
    <n v="9.5507849660000002"/>
    <n v="-83.792345999999995"/>
    <n v="2563"/>
    <s v="High"/>
    <d v="2019-08-12T00:00:00"/>
    <d v="2019-08-16T00:00:00"/>
    <n v="5"/>
  </r>
  <r>
    <x v="0"/>
    <x v="11"/>
    <x v="41"/>
    <x v="184"/>
    <n v="192848"/>
    <n v="1055932"/>
    <n v="9.5514829999999993"/>
    <n v="-83.792833000000002"/>
    <n v="2594"/>
    <s v="High"/>
    <d v="2013-08-06T00:00:00"/>
    <d v="2013-12-26T00:00:00"/>
    <n v="143"/>
  </r>
  <r>
    <x v="1"/>
    <x v="11"/>
    <x v="41"/>
    <x v="184"/>
    <n v="193405"/>
    <n v="1057059"/>
    <n v="9.5514829999999993"/>
    <n v="-83.792833000000002"/>
    <n v="2595"/>
    <s v="High"/>
    <d v="2014-07-30T00:00:00"/>
    <d v="2014-12-04T00:00:00"/>
    <n v="128"/>
  </r>
  <r>
    <x v="18"/>
    <x v="11"/>
    <x v="41"/>
    <x v="184"/>
    <n v="193405"/>
    <n v="1057059"/>
    <n v="9.5514829999999993"/>
    <n v="-83.792833000000002"/>
    <n v="2595"/>
    <s v="High"/>
    <d v="2016-09-12T00:00:00"/>
    <d v="2017-01-14T00:00:00"/>
    <n v="125"/>
  </r>
  <r>
    <x v="11"/>
    <x v="11"/>
    <x v="41"/>
    <x v="184"/>
    <n v="193405"/>
    <n v="1057059"/>
    <n v="9.5514829999999993"/>
    <n v="-83.792833000000002"/>
    <n v="2595"/>
    <s v="High"/>
    <d v="2017-06-08T00:00:00"/>
    <d v="2018-01-01T00:00:00"/>
    <n v="133"/>
  </r>
  <r>
    <x v="29"/>
    <x v="11"/>
    <x v="41"/>
    <x v="184"/>
    <n v="193405"/>
    <n v="1057059"/>
    <n v="9.5514829999999993"/>
    <n v="-83.792833000000002"/>
    <n v="2595"/>
    <s v="High"/>
    <d v="2018-07-20T00:00:00"/>
    <d v="2018-12-18T00:00:00"/>
    <n v="152"/>
  </r>
  <r>
    <x v="2"/>
    <x v="11"/>
    <x v="41"/>
    <x v="184"/>
    <n v="193405"/>
    <n v="1057059"/>
    <n v="9.5514829999999993"/>
    <n v="-83.792833000000002"/>
    <n v="2595"/>
    <s v="High"/>
    <d v="2013-03-15T00:00:00"/>
    <d v="2013-06-21T00:00:00"/>
    <n v="99"/>
  </r>
  <r>
    <x v="3"/>
    <x v="11"/>
    <x v="41"/>
    <x v="184"/>
    <n v="193388"/>
    <n v="1057064"/>
    <n v="9.5514829999999993"/>
    <n v="-83.792833000000002"/>
    <n v="2594"/>
    <s v="High"/>
    <d v="2013-08-21T00:00:00"/>
    <d v="2013-08-21T00:00:00"/>
    <n v="1"/>
  </r>
  <r>
    <x v="4"/>
    <x v="11"/>
    <x v="41"/>
    <x v="184"/>
    <n v="193405"/>
    <n v="1057059"/>
    <n v="9.5514829999999993"/>
    <n v="-83.792833000000002"/>
    <n v="2595"/>
    <s v="High"/>
    <d v="2015-04-01T00:00:00"/>
    <d v="2015-05-30T00:00:00"/>
    <n v="60"/>
  </r>
  <r>
    <x v="12"/>
    <x v="11"/>
    <x v="41"/>
    <x v="184"/>
    <n v="193405"/>
    <n v="1057059"/>
    <n v="9.5514829999999993"/>
    <n v="-83.792833000000002"/>
    <n v="2595"/>
    <s v="High"/>
    <d v="2015-12-15T00:00:00"/>
    <d v="2016-03-25T00:00:00"/>
    <n v="102"/>
  </r>
  <r>
    <x v="13"/>
    <x v="11"/>
    <x v="41"/>
    <x v="184"/>
    <n v="193405"/>
    <n v="1057059"/>
    <n v="9.5514829999999993"/>
    <n v="-83.792833000000002"/>
    <n v="2595"/>
    <s v="High"/>
    <d v="2017-01-15T00:00:00"/>
    <d v="2017-05-06T00:00:00"/>
    <n v="112"/>
  </r>
  <r>
    <x v="14"/>
    <x v="11"/>
    <x v="41"/>
    <x v="184"/>
    <n v="193405"/>
    <n v="1057059"/>
    <n v="9.5514829999999993"/>
    <n v="-83.792833000000002"/>
    <n v="2595"/>
    <s v="High"/>
    <d v="2018-01-02T00:00:00"/>
    <d v="2018-06-25T00:00:00"/>
    <n v="125"/>
  </r>
  <r>
    <x v="28"/>
    <x v="11"/>
    <x v="41"/>
    <x v="184"/>
    <n v="193405"/>
    <n v="1057059"/>
    <n v="9.5514829999999993"/>
    <n v="-83.792833000000002"/>
    <n v="2595"/>
    <s v="High"/>
    <d v="2019-03-14T00:00:00"/>
    <d v="2019-03-22T00:00:00"/>
    <n v="9"/>
  </r>
  <r>
    <x v="28"/>
    <x v="11"/>
    <x v="41"/>
    <x v="184"/>
    <n v="193405"/>
    <n v="1057059"/>
    <n v="9.5514829999999993"/>
    <n v="-83.792833000000002"/>
    <n v="2595"/>
    <s v="High"/>
    <d v="2019-03-29T00:00:00"/>
    <d v="2019-04-11T00:00:00"/>
    <n v="14"/>
  </r>
  <r>
    <x v="22"/>
    <x v="11"/>
    <x v="41"/>
    <x v="184"/>
    <n v="193405"/>
    <n v="1057059"/>
    <n v="9.5514829999999993"/>
    <n v="-83.792833000000002"/>
    <n v="2595"/>
    <s v="High"/>
    <d v="2013-07-02T00:00:00"/>
    <d v="2013-07-31T00:00:00"/>
    <n v="30"/>
  </r>
  <r>
    <x v="19"/>
    <x v="11"/>
    <x v="41"/>
    <x v="184"/>
    <n v="193388"/>
    <n v="1057064"/>
    <n v="9.5514829999999993"/>
    <n v="-83.792833000000002"/>
    <n v="2594"/>
    <s v="High"/>
    <d v="2014-06-18T00:00:00"/>
    <d v="2014-07-27T00:00:00"/>
    <n v="40"/>
  </r>
  <r>
    <x v="16"/>
    <x v="11"/>
    <x v="41"/>
    <x v="184"/>
    <n v="193405"/>
    <n v="1057059"/>
    <n v="9.5514829999999993"/>
    <n v="-83.792833000000002"/>
    <n v="2595"/>
    <s v="High"/>
    <d v="2016-07-19T00:00:00"/>
    <d v="2016-09-10T00:00:00"/>
    <n v="54"/>
  </r>
  <r>
    <x v="20"/>
    <x v="11"/>
    <x v="41"/>
    <x v="184"/>
    <n v="193405"/>
    <n v="1057059"/>
    <n v="9.5514829999999993"/>
    <n v="-83.792833000000002"/>
    <n v="2595"/>
    <s v="High"/>
    <d v="2017-05-25T00:00:00"/>
    <d v="2017-06-07T00:00:00"/>
    <n v="14"/>
  </r>
  <r>
    <x v="31"/>
    <x v="11"/>
    <x v="41"/>
    <x v="184"/>
    <n v="193405"/>
    <n v="1057059"/>
    <n v="9.5514829999999993"/>
    <n v="-83.792833000000002"/>
    <n v="2595"/>
    <s v="High"/>
    <d v="2018-06-26T00:00:00"/>
    <d v="2018-07-20T00:00:00"/>
    <n v="25"/>
  </r>
  <r>
    <x v="31"/>
    <x v="11"/>
    <x v="41"/>
    <x v="184"/>
    <n v="193405"/>
    <n v="1057059"/>
    <n v="9.5514829999999993"/>
    <n v="-83.792833000000002"/>
    <n v="2595"/>
    <s v="High"/>
    <m/>
    <m/>
    <n v="0"/>
  </r>
  <r>
    <x v="41"/>
    <x v="11"/>
    <x v="41"/>
    <x v="184"/>
    <n v="193405"/>
    <n v="1057059"/>
    <n v="9.5514829999999993"/>
    <n v="-83.792833000000002"/>
    <n v="2595"/>
    <s v="High"/>
    <d v="2019-07-03T00:00:00"/>
    <d v="2019-08-16T00:00:00"/>
    <n v="45"/>
  </r>
  <r>
    <x v="39"/>
    <x v="11"/>
    <x v="41"/>
    <x v="184"/>
    <n v="193405"/>
    <n v="1057059"/>
    <n v="9.5514829999999993"/>
    <n v="-83.792833000000002"/>
    <n v="2595"/>
    <s v="High"/>
    <d v="2012-01-02T00:00:00"/>
    <d v="2012-04-15T00:00:00"/>
    <n v="105"/>
  </r>
  <r>
    <x v="7"/>
    <x v="11"/>
    <x v="41"/>
    <x v="185"/>
    <n v="192868"/>
    <n v="1057081"/>
    <n v="9.5515170000000005"/>
    <n v="-83.797416999999996"/>
    <n v="2556"/>
    <s v="High"/>
    <d v="2012-08-17T00:00:00"/>
    <d v="2012-11-24T00:00:00"/>
    <n v="100"/>
  </r>
  <r>
    <x v="0"/>
    <x v="11"/>
    <x v="41"/>
    <x v="185"/>
    <n v="192867"/>
    <n v="1057094"/>
    <n v="9.5515170000000005"/>
    <n v="-83.797416999999996"/>
    <n v="2549"/>
    <s v="High"/>
    <d v="2013-07-14T00:00:00"/>
    <d v="2013-12-26T00:00:00"/>
    <n v="166"/>
  </r>
  <r>
    <x v="1"/>
    <x v="11"/>
    <x v="41"/>
    <x v="185"/>
    <n v="192867"/>
    <n v="1057094"/>
    <n v="9.5515170000000005"/>
    <n v="-83.797416999999996"/>
    <n v="2549"/>
    <s v="High"/>
    <d v="2014-07-30T00:00:00"/>
    <d v="2014-11-19T00:00:00"/>
    <n v="113"/>
  </r>
  <r>
    <x v="18"/>
    <x v="11"/>
    <x v="41"/>
    <x v="185"/>
    <n v="192867"/>
    <n v="1057094"/>
    <n v="9.5515170000000005"/>
    <n v="-83.797416999999996"/>
    <n v="2549"/>
    <s v="High"/>
    <d v="2016-09-11T00:00:00"/>
    <d v="2016-11-14T00:00:00"/>
    <n v="65"/>
  </r>
  <r>
    <x v="11"/>
    <x v="11"/>
    <x v="41"/>
    <x v="185"/>
    <n v="192867"/>
    <n v="1057094"/>
    <n v="9.5515170000000005"/>
    <n v="-83.797416999999996"/>
    <n v="2549"/>
    <s v="High"/>
    <d v="2017-06-08T00:00:00"/>
    <d v="2018-01-01T00:00:00"/>
    <n v="155"/>
  </r>
  <r>
    <x v="29"/>
    <x v="11"/>
    <x v="41"/>
    <x v="185"/>
    <n v="192867"/>
    <n v="1057094"/>
    <n v="9.5515170000000005"/>
    <n v="-83.797416999999996"/>
    <n v="2549"/>
    <s v="High"/>
    <d v="2018-12-18T00:00:00"/>
    <d v="2018-12-21T00:00:00"/>
    <n v="4"/>
  </r>
  <r>
    <x v="39"/>
    <x v="11"/>
    <x v="41"/>
    <x v="185"/>
    <n v="192868"/>
    <n v="1057081"/>
    <n v="9.5515170000000005"/>
    <n v="-83.797416999999996"/>
    <n v="2556"/>
    <s v="High"/>
    <d v="2012-02-27T00:00:00"/>
    <d v="2012-04-11T00:00:00"/>
    <n v="45"/>
  </r>
  <r>
    <x v="5"/>
    <x v="11"/>
    <x v="41"/>
    <x v="185"/>
    <n v="192868"/>
    <n v="1057081"/>
    <n v="9.5515170000000005"/>
    <n v="-83.797416999999996"/>
    <n v="2556"/>
    <s v="High"/>
    <d v="2012-04-21T00:00:00"/>
    <d v="2012-08-20T00:00:00"/>
    <n v="122"/>
  </r>
  <r>
    <x v="2"/>
    <x v="11"/>
    <x v="41"/>
    <x v="185"/>
    <n v="192868"/>
    <n v="1057081"/>
    <n v="9.5515170000000005"/>
    <n v="-83.797416999999996"/>
    <n v="2556"/>
    <s v="High"/>
    <d v="2013-02-21T00:00:00"/>
    <d v="2013-06-22T00:00:00"/>
    <n v="122"/>
  </r>
  <r>
    <x v="3"/>
    <x v="11"/>
    <x v="41"/>
    <x v="185"/>
    <n v="192867"/>
    <n v="1057094"/>
    <n v="9.5515170000000005"/>
    <n v="-83.797416999999996"/>
    <n v="2549"/>
    <s v="High"/>
    <d v="2013-12-27T00:00:00"/>
    <d v="2014-06-15T00:00:00"/>
    <n v="171"/>
  </r>
  <r>
    <x v="4"/>
    <x v="11"/>
    <x v="41"/>
    <x v="185"/>
    <n v="192867"/>
    <n v="1057094"/>
    <n v="9.5515170000000005"/>
    <n v="-83.797416999999996"/>
    <n v="2549"/>
    <s v="High"/>
    <d v="2015-04-03T00:00:00"/>
    <d v="2015-05-27T00:00:00"/>
    <n v="55"/>
  </r>
  <r>
    <x v="12"/>
    <x v="11"/>
    <x v="41"/>
    <x v="185"/>
    <n v="192867"/>
    <n v="1057094"/>
    <n v="9.5515170000000005"/>
    <n v="-83.797416999999996"/>
    <n v="2549"/>
    <s v="High"/>
    <d v="2015-12-15T00:00:00"/>
    <d v="2016-03-25T00:00:00"/>
    <n v="102"/>
  </r>
  <r>
    <x v="13"/>
    <x v="11"/>
    <x v="41"/>
    <x v="185"/>
    <n v="192867"/>
    <n v="1057094"/>
    <n v="9.5515170000000005"/>
    <n v="-83.797416999999996"/>
    <n v="2549"/>
    <s v="High"/>
    <d v="2017-01-15T00:00:00"/>
    <d v="2017-04-28T00:00:00"/>
    <n v="104"/>
  </r>
  <r>
    <x v="14"/>
    <x v="11"/>
    <x v="41"/>
    <x v="185"/>
    <n v="192867"/>
    <n v="1057094"/>
    <n v="9.5515170000000005"/>
    <n v="-83.797416999999996"/>
    <n v="2549"/>
    <s v="High"/>
    <d v="2018-01-02T00:00:00"/>
    <d v="2018-06-25T00:00:00"/>
    <n v="137"/>
  </r>
  <r>
    <x v="28"/>
    <x v="11"/>
    <x v="41"/>
    <x v="185"/>
    <n v="192867"/>
    <n v="1057094"/>
    <n v="9.5515170000000005"/>
    <n v="-83.797416999999996"/>
    <n v="2549"/>
    <s v="High"/>
    <d v="2019-03-14T00:00:00"/>
    <d v="2019-03-23T00:00:00"/>
    <n v="10"/>
  </r>
  <r>
    <x v="28"/>
    <x v="11"/>
    <x v="41"/>
    <x v="185"/>
    <n v="192867"/>
    <n v="1057094"/>
    <n v="9.5515170000000005"/>
    <n v="-83.797416999999996"/>
    <n v="2549"/>
    <s v="High"/>
    <d v="2019-04-11T00:00:00"/>
    <d v="2019-05-23T00:00:00"/>
    <n v="43"/>
  </r>
  <r>
    <x v="22"/>
    <x v="11"/>
    <x v="41"/>
    <x v="185"/>
    <n v="192868"/>
    <n v="1057081"/>
    <n v="9.5515170000000005"/>
    <n v="-83.797416999999996"/>
    <n v="2556"/>
    <s v="High"/>
    <d v="2013-06-27T00:00:00"/>
    <d v="2013-08-03T00:00:00"/>
    <n v="38"/>
  </r>
  <r>
    <x v="19"/>
    <x v="11"/>
    <x v="41"/>
    <x v="185"/>
    <n v="192867"/>
    <n v="1057094"/>
    <n v="9.5515170000000005"/>
    <n v="-83.797416999999996"/>
    <n v="2549"/>
    <s v="High"/>
    <d v="2014-07-15T00:00:00"/>
    <d v="2014-07-15T00:00:00"/>
    <n v="1"/>
  </r>
  <r>
    <x v="15"/>
    <x v="11"/>
    <x v="41"/>
    <x v="185"/>
    <n v="192867"/>
    <n v="1057094"/>
    <n v="9.5515170000000005"/>
    <n v="-83.797416999999996"/>
    <n v="2549"/>
    <s v="High"/>
    <d v="2015-06-20T00:00:00"/>
    <d v="2015-06-24T00:00:00"/>
    <n v="5"/>
  </r>
  <r>
    <x v="7"/>
    <x v="12"/>
    <x v="56"/>
    <x v="186"/>
    <n v="185190"/>
    <n v="1072155"/>
    <n v="9.6872000000000007"/>
    <n v="-83.868633000000003"/>
    <n v="2780"/>
    <s v="Moderate Low"/>
    <d v="2012-08-20T00:00:00"/>
    <d v="2012-12-30T00:00:00"/>
    <n v="133"/>
  </r>
  <r>
    <x v="7"/>
    <x v="12"/>
    <x v="56"/>
    <x v="187"/>
    <n v="185871"/>
    <n v="1073502"/>
    <n v="9.6994170000000004"/>
    <n v="-83.862532999999999"/>
    <n v="2673"/>
    <s v="Moderate Low"/>
    <d v="2012-08-11T00:00:00"/>
    <d v="2012-12-30T00:00:00"/>
    <n v="142"/>
  </r>
  <r>
    <x v="7"/>
    <x v="12"/>
    <x v="56"/>
    <x v="188"/>
    <n v="186331"/>
    <n v="1073102"/>
    <n v="9.6958330000000004"/>
    <n v="-83.858317"/>
    <n v="2673"/>
    <s v="Moderate Low"/>
    <d v="2012-08-20T00:00:00"/>
    <d v="2012-12-30T00:00:00"/>
    <n v="133"/>
  </r>
  <r>
    <x v="7"/>
    <x v="12"/>
    <x v="56"/>
    <x v="189"/>
    <n v="186414"/>
    <n v="1074887"/>
    <n v="9.7119669999999996"/>
    <n v="-83.857699999999994"/>
    <n v="2344"/>
    <s v="Moderate Low"/>
    <d v="2012-08-20T00:00:00"/>
    <d v="2012-12-30T00:00:00"/>
    <n v="133"/>
  </r>
  <r>
    <x v="7"/>
    <x v="12"/>
    <x v="57"/>
    <x v="190"/>
    <n v="188010"/>
    <n v="1068530"/>
    <n v="9.6546669999999999"/>
    <n v="-83.842682999999994"/>
    <n v="2702"/>
    <s v="Low"/>
    <d v="2012-08-20T00:00:00"/>
    <d v="2012-12-30T00:00:00"/>
    <n v="133"/>
  </r>
  <r>
    <x v="7"/>
    <x v="12"/>
    <x v="57"/>
    <x v="191"/>
    <n v="189245"/>
    <n v="1068909"/>
    <n v="9.6581829999999993"/>
    <n v="-83.831467000000004"/>
    <n v="2613"/>
    <s v="Low"/>
    <d v="2012-08-08T00:00:00"/>
    <d v="2012-12-30T00:00:00"/>
    <n v="145"/>
  </r>
  <r>
    <x v="7"/>
    <x v="12"/>
    <x v="57"/>
    <x v="192"/>
    <n v="189763"/>
    <n v="1069067"/>
    <n v="9.6596499999999992"/>
    <n v="-83.826767000000004"/>
    <n v="2561"/>
    <s v="Low"/>
    <d v="2012-08-12T00:00:00"/>
    <d v="2012-12-30T00:00:00"/>
    <n v="141"/>
  </r>
  <r>
    <x v="7"/>
    <x v="12"/>
    <x v="58"/>
    <x v="193"/>
    <n v="193660"/>
    <n v="1074411"/>
    <n v="9.7082169999999994"/>
    <n v="-83.791683000000006"/>
    <n v="1619"/>
    <s v="High"/>
    <d v="2012-08-18T00:00:00"/>
    <d v="2012-12-30T00:00:00"/>
    <n v="135"/>
  </r>
  <r>
    <x v="7"/>
    <x v="12"/>
    <x v="58"/>
    <x v="194"/>
    <n v="194703"/>
    <n v="1072980"/>
    <n v="9.6953669999999992"/>
    <n v="-83.782083"/>
    <n v="1618"/>
    <s v="High"/>
    <d v="2012-08-19T00:00:00"/>
    <d v="2012-12-30T00:00:00"/>
    <n v="134"/>
  </r>
  <r>
    <x v="7"/>
    <x v="12"/>
    <x v="58"/>
    <x v="195"/>
    <n v="194838"/>
    <n v="1075429"/>
    <n v="9.7174999999999994"/>
    <n v="-83.781032999999994"/>
    <n v="1564"/>
    <s v="High"/>
    <d v="2012-08-25T00:00:00"/>
    <d v="2012-12-27T00:00:00"/>
    <n v="125"/>
  </r>
  <r>
    <x v="7"/>
    <x v="12"/>
    <x v="58"/>
    <x v="196"/>
    <n v="195024"/>
    <n v="1074245"/>
    <n v="9.7068670000000008"/>
    <n v="-83.779283000000007"/>
    <n v="1506"/>
    <s v="High"/>
    <d v="2012-08-20T00:00:00"/>
    <d v="2012-12-27T00:00:00"/>
    <n v="130"/>
  </r>
  <r>
    <x v="5"/>
    <x v="12"/>
    <x v="58"/>
    <x v="197"/>
    <n v="195370"/>
    <n v="1076696"/>
    <n v="9.72898"/>
    <n v="-83.77628"/>
    <n v="1541"/>
    <s v="High"/>
    <d v="2012-06-18T00:00:00"/>
    <d v="2012-08-04T00:00:00"/>
    <n v="48"/>
  </r>
  <r>
    <x v="7"/>
    <x v="12"/>
    <x v="58"/>
    <x v="198"/>
    <n v="195880"/>
    <n v="1073078"/>
    <n v="9.6963329999999992"/>
    <n v="-83.771366999999998"/>
    <n v="1632"/>
    <s v="High"/>
    <d v="2012-08-20T00:00:00"/>
    <d v="2012-12-30T00:00:00"/>
    <n v="133"/>
  </r>
  <r>
    <x v="7"/>
    <x v="12"/>
    <x v="58"/>
    <x v="199"/>
    <n v="197207"/>
    <n v="1072357"/>
    <n v="9.6899169999999994"/>
    <n v="-83.759232999999995"/>
    <n v="1668"/>
    <s v="High"/>
    <d v="2012-08-04T00:00:00"/>
    <d v="2012-12-30T00:00:00"/>
    <n v="149"/>
  </r>
  <r>
    <x v="0"/>
    <x v="12"/>
    <x v="56"/>
    <x v="187"/>
    <n v="185871"/>
    <n v="1073502"/>
    <n v="9.6994170000000004"/>
    <n v="-83.862532999999999"/>
    <n v="2673"/>
    <s v="Moderate Low"/>
    <d v="2013-08-18T00:00:00"/>
    <d v="2013-08-27T00:00:00"/>
    <n v="10"/>
  </r>
  <r>
    <x v="0"/>
    <x v="12"/>
    <x v="56"/>
    <x v="188"/>
    <n v="186331"/>
    <n v="1073102"/>
    <n v="9.6958330000000004"/>
    <n v="-83.858317"/>
    <n v="2673"/>
    <s v="Moderate Low"/>
    <d v="2013-08-22T00:00:00"/>
    <d v="2013-09-08T00:00:00"/>
    <n v="18"/>
  </r>
  <r>
    <x v="0"/>
    <x v="12"/>
    <x v="56"/>
    <x v="189"/>
    <n v="186414"/>
    <n v="1074887"/>
    <n v="9.7119669999999996"/>
    <n v="-83.857699999999994"/>
    <n v="2344"/>
    <s v="Moderate Low"/>
    <d v="2014-05-22T00:00:00"/>
    <d v="2014-06-20T00:00:00"/>
    <n v="30"/>
  </r>
  <r>
    <x v="0"/>
    <x v="12"/>
    <x v="59"/>
    <x v="200"/>
    <n v="194703"/>
    <n v="1072980"/>
    <n v="9.6953669999999992"/>
    <n v="-83.782083"/>
    <n v="1618"/>
    <s v="Low"/>
    <d v="2013-11-21T00:00:00"/>
    <d v="2013-12-03T00:00:00"/>
    <n v="13"/>
  </r>
  <r>
    <x v="0"/>
    <x v="12"/>
    <x v="59"/>
    <x v="201"/>
    <n v="194838"/>
    <n v="1075429"/>
    <n v="9.7174999999999994"/>
    <n v="-83.781032999999994"/>
    <n v="1564"/>
    <s v="Low"/>
    <d v="2013-08-20T00:00:00"/>
    <d v="2013-11-08T00:00:00"/>
    <n v="81"/>
  </r>
  <r>
    <x v="0"/>
    <x v="12"/>
    <x v="60"/>
    <x v="196"/>
    <n v="195020"/>
    <n v="1074251"/>
    <n v="9.7068670000000008"/>
    <n v="-83.779283000000007"/>
    <n v="1508"/>
    <s v="High"/>
    <d v="2013-08-18T00:00:00"/>
    <d v="2013-10-16T00:00:00"/>
    <n v="60"/>
  </r>
  <r>
    <x v="7"/>
    <x v="12"/>
    <x v="58"/>
    <x v="197"/>
    <n v="195370"/>
    <n v="1076696"/>
    <n v="9.7289829999999995"/>
    <n v="-83.776283000000006"/>
    <n v="1541"/>
    <s v="High"/>
    <d v="2012-08-20T00:00:00"/>
    <d v="2012-12-30T00:00:00"/>
    <n v="133"/>
  </r>
  <r>
    <x v="0"/>
    <x v="12"/>
    <x v="59"/>
    <x v="198"/>
    <n v="195880"/>
    <n v="1073078"/>
    <n v="9.6963329999999992"/>
    <n v="-83.771366999999998"/>
    <n v="1632"/>
    <s v="Low"/>
    <d v="2013-08-18T00:00:00"/>
    <d v="2013-12-18T00:00:00"/>
    <n v="123"/>
  </r>
  <r>
    <x v="0"/>
    <x v="12"/>
    <x v="58"/>
    <x v="199"/>
    <n v="197207"/>
    <n v="1072357"/>
    <n v="9.6899169999999994"/>
    <n v="-83.759232999999995"/>
    <n v="1668"/>
    <s v="High"/>
    <d v="2013-08-06T00:00:00"/>
    <d v="2013-08-19T00:00:00"/>
    <n v="14"/>
  </r>
  <r>
    <x v="1"/>
    <x v="12"/>
    <x v="56"/>
    <x v="189"/>
    <n v="186414"/>
    <n v="1074887"/>
    <n v="9.7119669999999996"/>
    <n v="-83.857699999999994"/>
    <n v="2344"/>
    <s v="Moderate Low"/>
    <d v="2014-07-10T00:00:00"/>
    <d v="2014-11-07T00:00:00"/>
    <n v="121"/>
  </r>
  <r>
    <x v="1"/>
    <x v="12"/>
    <x v="59"/>
    <x v="201"/>
    <n v="186500"/>
    <n v="1075997"/>
    <n v="9.7174999999999994"/>
    <n v="-83.781032999999994"/>
    <n v="2090"/>
    <s v="Low"/>
    <d v="2014-08-24T00:00:00"/>
    <d v="2014-12-18T00:00:00"/>
    <n v="117"/>
  </r>
  <r>
    <x v="1"/>
    <x v="12"/>
    <x v="4"/>
    <x v="198"/>
    <n v="186525"/>
    <n v="1075281"/>
    <n v="9.6963329999999992"/>
    <n v="-83.771366999999998"/>
    <n v="2240"/>
    <s v="Low"/>
    <d v="2014-10-30T00:00:00"/>
    <d v="2014-11-27T00:00:00"/>
    <n v="29"/>
  </r>
  <r>
    <x v="1"/>
    <x v="12"/>
    <x v="59"/>
    <x v="200"/>
    <n v="186541"/>
    <n v="1076664"/>
    <n v="9.6953669999999992"/>
    <n v="-83.782083"/>
    <n v="2201"/>
    <s v="Low"/>
    <d v="2014-08-25T00:00:00"/>
    <d v="2014-09-06T00:00:00"/>
    <n v="13"/>
  </r>
  <r>
    <x v="1"/>
    <x v="12"/>
    <x v="57"/>
    <x v="191"/>
    <n v="189245"/>
    <n v="1068909"/>
    <n v="9.6581829999999993"/>
    <n v="-83.831467000000004"/>
    <n v="2613"/>
    <s v="Low"/>
    <d v="2014-11-16T00:00:00"/>
    <d v="2014-11-29T00:00:00"/>
    <n v="14"/>
  </r>
  <r>
    <x v="1"/>
    <x v="12"/>
    <x v="61"/>
    <x v="202"/>
    <n v="191491"/>
    <n v="1069596"/>
    <n v="9.6645534529999999"/>
    <n v="-83.811070259999994"/>
    <n v="2659"/>
    <s v="Low"/>
    <d v="2014-07-22T00:00:00"/>
    <d v="2014-12-04T00:00:00"/>
    <n v="136"/>
  </r>
  <r>
    <x v="1"/>
    <x v="12"/>
    <x v="61"/>
    <x v="203"/>
    <n v="192028"/>
    <n v="1070266"/>
    <n v="9.670617"/>
    <n v="-83.806233000000006"/>
    <n v="2592"/>
    <s v="Low"/>
    <d v="2014-08-28T00:00:00"/>
    <d v="2014-12-22T00:00:00"/>
    <n v="117"/>
  </r>
  <r>
    <x v="1"/>
    <x v="12"/>
    <x v="61"/>
    <x v="204"/>
    <n v="192382"/>
    <n v="1071289"/>
    <n v="9.6799330000000001"/>
    <n v="-83.803083000000001"/>
    <n v="2455"/>
    <s v="Low"/>
    <d v="2014-08-31T00:00:00"/>
    <d v="2014-12-18T00:00:00"/>
    <n v="110"/>
  </r>
  <r>
    <x v="1"/>
    <x v="12"/>
    <x v="61"/>
    <x v="205"/>
    <n v="192601"/>
    <n v="1071411"/>
    <n v="9.6811330000000009"/>
    <n v="-83.801150000000007"/>
    <n v="2364"/>
    <s v="Low"/>
    <d v="2014-08-10T00:00:00"/>
    <d v="2014-11-14T00:00:00"/>
    <n v="97"/>
  </r>
  <r>
    <x v="44"/>
    <x v="12"/>
    <x v="61"/>
    <x v="205"/>
    <n v="192601"/>
    <n v="1071411"/>
    <n v="9.6811330000000009"/>
    <n v="-83.801150000000007"/>
    <n v="2364"/>
    <s v="Low"/>
    <d v="2015-10-12T00:00:00"/>
    <d v="2016-02-01T00:00:00"/>
    <n v="113"/>
  </r>
  <r>
    <x v="1"/>
    <x v="12"/>
    <x v="61"/>
    <x v="206"/>
    <n v="193271"/>
    <n v="1071909"/>
    <n v="9.6856000000000009"/>
    <n v="-83.794967"/>
    <n v="2008"/>
    <s v="Low"/>
    <d v="2014-07-28T00:00:00"/>
    <d v="2014-08-25T00:00:00"/>
    <n v="29"/>
  </r>
  <r>
    <x v="1"/>
    <x v="12"/>
    <x v="61"/>
    <x v="207"/>
    <n v="193737"/>
    <n v="1072031"/>
    <n v="9.6867169999999998"/>
    <n v="-83.790817000000004"/>
    <n v="1869"/>
    <s v="Low"/>
    <d v="2014-09-15T00:00:00"/>
    <d v="2014-11-29T00:00:00"/>
    <n v="76"/>
  </r>
  <r>
    <x v="44"/>
    <x v="12"/>
    <x v="61"/>
    <x v="207"/>
    <n v="193737"/>
    <n v="1072031"/>
    <n v="9.6867169999999998"/>
    <n v="-83.790817000000004"/>
    <n v="1869"/>
    <s v="Low"/>
    <d v="2011-01-02T00:00:00"/>
    <d v="2011-04-07T00:00:00"/>
    <n v="96"/>
  </r>
  <r>
    <x v="1"/>
    <x v="12"/>
    <x v="60"/>
    <x v="196"/>
    <n v="195024"/>
    <n v="1074245"/>
    <n v="9.7068670000000008"/>
    <n v="-83.779283000000007"/>
    <n v="1508"/>
    <s v="High"/>
    <d v="2014-08-14T00:00:00"/>
    <d v="2014-09-03T00:00:00"/>
    <n v="21"/>
  </r>
  <r>
    <x v="2"/>
    <x v="12"/>
    <x v="58"/>
    <x v="197"/>
    <n v="195370"/>
    <n v="1076696"/>
    <n v="9.7289829999999995"/>
    <n v="-83.776283000000006"/>
    <n v="1541"/>
    <s v="High"/>
    <d v="2013-01-10T00:00:00"/>
    <d v="2013-06-04T00:00:00"/>
    <n v="146"/>
  </r>
  <r>
    <x v="18"/>
    <x v="12"/>
    <x v="60"/>
    <x v="195"/>
    <n v="195024"/>
    <n v="1074243"/>
    <n v="9.7067899999999998"/>
    <n v="-83.779250000000005"/>
    <n v="1508"/>
    <m/>
    <m/>
    <m/>
    <n v="0"/>
  </r>
  <r>
    <x v="18"/>
    <x v="12"/>
    <x v="60"/>
    <x v="195"/>
    <n v="195024"/>
    <n v="1074243"/>
    <n v="9.7067899999999998"/>
    <n v="-83.779250000000005"/>
    <n v="1508"/>
    <m/>
    <m/>
    <m/>
    <n v="0"/>
  </r>
  <r>
    <x v="0"/>
    <x v="12"/>
    <x v="58"/>
    <x v="197"/>
    <n v="195370"/>
    <n v="1076696"/>
    <n v="9.7289829999999995"/>
    <n v="-83.776283000000006"/>
    <n v="1541"/>
    <s v="High"/>
    <d v="2013-08-21T00:00:00"/>
    <d v="2013-11-04T00:00:00"/>
    <n v="76"/>
  </r>
  <r>
    <x v="3"/>
    <x v="12"/>
    <x v="60"/>
    <x v="197"/>
    <n v="195370"/>
    <n v="1076696"/>
    <n v="9.7289829999999995"/>
    <n v="-83.776283000000006"/>
    <n v="1541"/>
    <s v="High"/>
    <d v="2014-01-01T00:00:00"/>
    <d v="2014-03-04T00:00:00"/>
    <n v="63"/>
  </r>
  <r>
    <x v="1"/>
    <x v="12"/>
    <x v="58"/>
    <x v="197"/>
    <n v="195370"/>
    <n v="1076696"/>
    <n v="9.7289829999999995"/>
    <n v="-83.776283000000006"/>
    <n v="1541"/>
    <s v="High"/>
    <d v="2014-08-17T00:00:00"/>
    <d v="2014-09-08T00:00:00"/>
    <n v="23"/>
  </r>
  <r>
    <x v="18"/>
    <x v="12"/>
    <x v="60"/>
    <x v="196"/>
    <n v="197217"/>
    <n v="1072365"/>
    <n v="9.69"/>
    <n v="-83.759140000000002"/>
    <n v="1685"/>
    <m/>
    <m/>
    <m/>
    <n v="0"/>
  </r>
  <r>
    <x v="18"/>
    <x v="12"/>
    <x v="60"/>
    <x v="196"/>
    <n v="197217"/>
    <n v="1072365"/>
    <n v="9.69"/>
    <n v="-83.759140000000002"/>
    <n v="1685"/>
    <m/>
    <d v="2016-11-08T00:00:00"/>
    <d v="2016-11-30T00:00:00"/>
    <n v="23"/>
  </r>
  <r>
    <x v="18"/>
    <x v="12"/>
    <x v="60"/>
    <x v="194"/>
    <n v="197753"/>
    <n v="1071996"/>
    <n v="9.6867000000000001"/>
    <n v="-83.754239999999996"/>
    <n v="1667"/>
    <m/>
    <m/>
    <m/>
    <n v="0"/>
  </r>
  <r>
    <x v="18"/>
    <x v="12"/>
    <x v="60"/>
    <x v="194"/>
    <n v="197753"/>
    <n v="1071996"/>
    <n v="9.6867000000000001"/>
    <n v="-83.754239999999996"/>
    <n v="1667"/>
    <m/>
    <m/>
    <m/>
    <n v="0"/>
  </r>
  <r>
    <x v="15"/>
    <x v="12"/>
    <x v="58"/>
    <x v="197"/>
    <n v="195370"/>
    <n v="1076696"/>
    <n v="9.7289829999999995"/>
    <n v="-83.776283000000006"/>
    <n v="1541"/>
    <s v="High"/>
    <d v="2015-06-17T00:00:00"/>
    <d v="2015-06-26T00:00:00"/>
    <n v="10"/>
  </r>
  <r>
    <x v="11"/>
    <x v="12"/>
    <x v="60"/>
    <x v="195"/>
    <n v="195024"/>
    <n v="1074242"/>
    <n v="9.7067899999999998"/>
    <n v="-83.779250000000005"/>
    <n v="1508"/>
    <m/>
    <d v="2017-08-04T00:00:00"/>
    <d v="2017-10-25T00:00:00"/>
    <n v="83"/>
  </r>
  <r>
    <x v="11"/>
    <x v="12"/>
    <x v="60"/>
    <x v="195"/>
    <n v="195024"/>
    <n v="1074242"/>
    <n v="9.7067899999999998"/>
    <n v="-83.779250000000005"/>
    <n v="1508"/>
    <m/>
    <d v="2017-08-04T00:00:00"/>
    <d v="2017-10-25T00:00:00"/>
    <n v="0"/>
  </r>
  <r>
    <x v="16"/>
    <x v="12"/>
    <x v="60"/>
    <x v="197"/>
    <n v="195370"/>
    <n v="1076694"/>
    <n v="9.7289600000000007"/>
    <n v="-83.776281999999995"/>
    <n v="1541"/>
    <s v="High"/>
    <d v="2016-07-01T00:00:00"/>
    <d v="2016-07-17T00:00:00"/>
    <n v="0"/>
  </r>
  <r>
    <x v="11"/>
    <x v="12"/>
    <x v="60"/>
    <x v="196"/>
    <n v="197217"/>
    <n v="1072366"/>
    <n v="9.69"/>
    <n v="-83.759140000000002"/>
    <n v="1685"/>
    <m/>
    <d v="2017-08-04T00:00:00"/>
    <d v="2017-10-25T00:00:00"/>
    <n v="83"/>
  </r>
  <r>
    <x v="11"/>
    <x v="12"/>
    <x v="60"/>
    <x v="196"/>
    <n v="197217"/>
    <n v="1072366"/>
    <n v="9.69"/>
    <n v="-83.759140000000002"/>
    <n v="1685"/>
    <m/>
    <d v="2017-08-04T00:00:00"/>
    <d v="2017-10-25T00:00:00"/>
    <n v="0"/>
  </r>
  <r>
    <x v="11"/>
    <x v="12"/>
    <x v="60"/>
    <x v="194"/>
    <n v="197752"/>
    <n v="1071996"/>
    <n v="9.6867000000000001"/>
    <n v="-83.754239999999996"/>
    <n v="1667"/>
    <m/>
    <m/>
    <m/>
    <n v="0"/>
  </r>
  <r>
    <x v="11"/>
    <x v="12"/>
    <x v="60"/>
    <x v="194"/>
    <n v="197752"/>
    <n v="1071996"/>
    <n v="9.6867000000000001"/>
    <n v="-83.754239999999996"/>
    <n v="1667"/>
    <m/>
    <m/>
    <m/>
    <n v="0"/>
  </r>
  <r>
    <x v="2"/>
    <x v="12"/>
    <x v="57"/>
    <x v="192"/>
    <n v="189763"/>
    <n v="1069067"/>
    <n v="9.6596499999999992"/>
    <n v="-83.826767000000004"/>
    <n v="2561"/>
    <s v="Low"/>
    <d v="2013-06-20T00:00:00"/>
    <d v="2013-06-21T00:00:00"/>
    <n v="2"/>
  </r>
  <r>
    <x v="2"/>
    <x v="12"/>
    <x v="58"/>
    <x v="193"/>
    <n v="193660"/>
    <n v="1074411"/>
    <n v="9.7082169999999994"/>
    <n v="-83.791683000000006"/>
    <n v="1619"/>
    <s v="High"/>
    <d v="2013-01-03T00:00:00"/>
    <d v="2013-05-31T00:00:00"/>
    <n v="149"/>
  </r>
  <r>
    <x v="2"/>
    <x v="12"/>
    <x v="58"/>
    <x v="194"/>
    <n v="194703"/>
    <n v="1072980"/>
    <n v="9.6953669999999992"/>
    <n v="-83.782083"/>
    <n v="1618"/>
    <s v="High"/>
    <d v="2013-01-01T00:00:00"/>
    <d v="2013-06-04T00:00:00"/>
    <n v="155"/>
  </r>
  <r>
    <x v="2"/>
    <x v="12"/>
    <x v="58"/>
    <x v="195"/>
    <n v="194838"/>
    <n v="1075429"/>
    <n v="9.7174999999999994"/>
    <n v="-83.781032999999994"/>
    <n v="1564"/>
    <s v="High"/>
    <d v="2013-01-22T00:00:00"/>
    <d v="2013-06-08T00:00:00"/>
    <n v="138"/>
  </r>
  <r>
    <x v="2"/>
    <x v="12"/>
    <x v="58"/>
    <x v="196"/>
    <n v="195024"/>
    <n v="1074245"/>
    <n v="9.7068670000000008"/>
    <n v="-83.779283000000007"/>
    <n v="1506"/>
    <s v="High"/>
    <d v="2013-01-05T00:00:00"/>
    <d v="2013-06-08T00:00:00"/>
    <n v="155"/>
  </r>
  <r>
    <x v="16"/>
    <x v="12"/>
    <x v="60"/>
    <x v="197"/>
    <n v="195370"/>
    <n v="1076694"/>
    <n v="9.7289600000000007"/>
    <n v="-83.776281999999995"/>
    <n v="1541"/>
    <s v="High"/>
    <d v="2016-07-01T00:00:00"/>
    <d v="2016-09-17T00:00:00"/>
    <n v="79"/>
  </r>
  <r>
    <x v="2"/>
    <x v="12"/>
    <x v="58"/>
    <x v="198"/>
    <n v="195880"/>
    <n v="1073078"/>
    <n v="9.6963329999999992"/>
    <n v="-83.771366999999998"/>
    <n v="1632"/>
    <s v="High"/>
    <d v="2013-01-04T00:00:00"/>
    <d v="2013-06-08T00:00:00"/>
    <n v="156"/>
  </r>
  <r>
    <x v="2"/>
    <x v="12"/>
    <x v="58"/>
    <x v="199"/>
    <n v="197207"/>
    <n v="1072357"/>
    <n v="9.6899169999999994"/>
    <n v="-83.759232999999995"/>
    <n v="1668"/>
    <s v="High"/>
    <d v="2013-01-01T00:00:00"/>
    <d v="2013-06-03T00:00:00"/>
    <n v="154"/>
  </r>
  <r>
    <x v="4"/>
    <x v="12"/>
    <x v="56"/>
    <x v="187"/>
    <n v="185871"/>
    <n v="1073502"/>
    <n v="9.6994170000000004"/>
    <n v="-83.862532999999999"/>
    <n v="2673"/>
    <s v="Moderate Low"/>
    <d v="2014-11-17T00:00:00"/>
    <d v="2015-03-17T00:00:00"/>
    <n v="121"/>
  </r>
  <r>
    <x v="4"/>
    <x v="12"/>
    <x v="56"/>
    <x v="188"/>
    <n v="186331"/>
    <n v="1073102"/>
    <n v="9.6958330000000004"/>
    <n v="-83.858317"/>
    <n v="2673"/>
    <s v="Moderate Low"/>
    <d v="2014-04-29T00:00:00"/>
    <d v="2015-05-27T00:00:00"/>
    <n v="394"/>
  </r>
  <r>
    <x v="4"/>
    <x v="12"/>
    <x v="56"/>
    <x v="189"/>
    <n v="186414"/>
    <n v="1074887"/>
    <n v="9.7119669999999996"/>
    <n v="-83.857699999999994"/>
    <n v="2344"/>
    <s v="Moderate Low"/>
    <d v="2014-12-16T00:00:00"/>
    <d v="2015-05-14T00:00:00"/>
    <n v="150"/>
  </r>
  <r>
    <x v="4"/>
    <x v="12"/>
    <x v="59"/>
    <x v="201"/>
    <n v="186500"/>
    <n v="1075997"/>
    <n v="9.7174999999999994"/>
    <n v="-83.781032999999994"/>
    <n v="2090"/>
    <s v="Low"/>
    <d v="2014-12-11T00:00:00"/>
    <d v="2015-05-30T00:00:00"/>
    <n v="171"/>
  </r>
  <r>
    <x v="4"/>
    <x v="12"/>
    <x v="59"/>
    <x v="198"/>
    <n v="186525"/>
    <n v="1075281"/>
    <n v="9.7119669999999996"/>
    <n v="-83.857699999999994"/>
    <n v="2240"/>
    <s v="Low"/>
    <d v="2014-12-15T00:00:00"/>
    <d v="2015-05-19T00:00:00"/>
    <n v="156"/>
  </r>
  <r>
    <x v="4"/>
    <x v="12"/>
    <x v="59"/>
    <x v="200"/>
    <n v="186541"/>
    <n v="1076664"/>
    <n v="9.6953669999999992"/>
    <n v="-83.782083"/>
    <n v="2201"/>
    <s v="Low"/>
    <d v="2014-12-09T00:00:00"/>
    <d v="2015-06-11T00:00:00"/>
    <n v="185"/>
  </r>
  <r>
    <x v="4"/>
    <x v="12"/>
    <x v="58"/>
    <x v="193"/>
    <n v="193660"/>
    <n v="1074411"/>
    <n v="9.7082169999999994"/>
    <n v="-83.791683000000006"/>
    <n v="1619"/>
    <s v="High"/>
    <d v="2015-01-22T00:00:00"/>
    <d v="2015-02-23T00:00:00"/>
    <n v="33"/>
  </r>
  <r>
    <x v="14"/>
    <x v="12"/>
    <x v="60"/>
    <x v="195"/>
    <n v="195024"/>
    <n v="1074242"/>
    <n v="9.7067899999999998"/>
    <n v="-83.779250000000005"/>
    <n v="1508"/>
    <m/>
    <d v="2017-10-25T00:00:00"/>
    <d v="2018-04-15T00:00:00"/>
    <n v="173"/>
  </r>
  <r>
    <x v="14"/>
    <x v="12"/>
    <x v="60"/>
    <x v="196"/>
    <n v="197217"/>
    <n v="1072366"/>
    <n v="9.69"/>
    <n v="-83.759140000000002"/>
    <n v="1685"/>
    <m/>
    <d v="2017-10-15T00:00:00"/>
    <d v="2018-04-13T00:00:00"/>
    <n v="173"/>
  </r>
  <r>
    <x v="14"/>
    <x v="12"/>
    <x v="60"/>
    <x v="196"/>
    <n v="197217"/>
    <n v="1072366"/>
    <n v="9.69"/>
    <n v="-83.759140000000002"/>
    <n v="1685"/>
    <m/>
    <d v="2017-10-26T00:00:00"/>
    <d v="2018-04-13T00:00:00"/>
    <n v="0"/>
  </r>
  <r>
    <x v="14"/>
    <x v="12"/>
    <x v="17"/>
    <x v="208"/>
    <n v="193977.87"/>
    <n v="1074433.42"/>
    <n v="9.7084385999999991"/>
    <n v="-83.788790000000006"/>
    <n v="1642"/>
    <m/>
    <d v="2018-07-31T00:00:00"/>
    <d v="2018-09-17T00:00:00"/>
    <n v="49"/>
  </r>
  <r>
    <x v="14"/>
    <x v="12"/>
    <x v="60"/>
    <x v="195"/>
    <n v="195024"/>
    <n v="1074242"/>
    <n v="9.7067899999999998"/>
    <n v="-83.779250000000005"/>
    <n v="1508"/>
    <m/>
    <d v="2018-03-12T00:00:00"/>
    <d v="2018-04-15T00:00:00"/>
    <n v="0"/>
  </r>
  <r>
    <x v="18"/>
    <x v="12"/>
    <x v="60"/>
    <x v="197"/>
    <n v="195370"/>
    <n v="1076694"/>
    <n v="9.7289600000000007"/>
    <n v="-83.77628"/>
    <n v="1541"/>
    <m/>
    <d v="2016-11-08T00:00:00"/>
    <d v="2016-12-18T00:00:00"/>
    <n v="0"/>
  </r>
  <r>
    <x v="18"/>
    <x v="12"/>
    <x v="60"/>
    <x v="197"/>
    <n v="195370"/>
    <n v="1076694"/>
    <n v="9.7289600000000007"/>
    <n v="-83.77628"/>
    <n v="1541"/>
    <m/>
    <d v="2016-11-08T00:00:00"/>
    <d v="2016-12-18T00:00:00"/>
    <n v="41"/>
  </r>
  <r>
    <x v="20"/>
    <x v="12"/>
    <x v="60"/>
    <x v="197"/>
    <n v="195370"/>
    <n v="1076694"/>
    <n v="9.7289600000000007"/>
    <n v="-83.77628"/>
    <n v="1541"/>
    <m/>
    <d v="2017-05-15T00:00:00"/>
    <d v="2017-07-19T00:00:00"/>
    <n v="66"/>
  </r>
  <r>
    <x v="14"/>
    <x v="12"/>
    <x v="17"/>
    <x v="195"/>
    <n v="197207.32"/>
    <n v="1072357.04"/>
    <n v="9.6899192000000003"/>
    <n v="-83.759229500000004"/>
    <n v="1668"/>
    <m/>
    <d v="2018-07-31T00:00:00"/>
    <d v="2018-08-15T00:00:00"/>
    <n v="16"/>
  </r>
  <r>
    <x v="14"/>
    <x v="12"/>
    <x v="60"/>
    <x v="194"/>
    <n v="197752"/>
    <n v="1071996"/>
    <n v="9.6867000000000001"/>
    <n v="-83.754239999999996"/>
    <n v="1667"/>
    <m/>
    <m/>
    <m/>
    <n v="0"/>
  </r>
  <r>
    <x v="14"/>
    <x v="12"/>
    <x v="60"/>
    <x v="194"/>
    <n v="197752"/>
    <n v="1071996"/>
    <n v="9.6867000000000001"/>
    <n v="-83.754239999999996"/>
    <n v="1667"/>
    <m/>
    <m/>
    <m/>
    <n v="0"/>
  </r>
  <r>
    <x v="20"/>
    <x v="12"/>
    <x v="60"/>
    <x v="197"/>
    <n v="195370"/>
    <n v="1076694"/>
    <n v="9.7289600000000007"/>
    <n v="-83.77628"/>
    <n v="1541"/>
    <m/>
    <d v="2017-06-10T00:00:00"/>
    <d v="2017-07-26T00:00:00"/>
    <n v="0"/>
  </r>
  <r>
    <x v="5"/>
    <x v="12"/>
    <x v="56"/>
    <x v="186"/>
    <n v="185190"/>
    <n v="1072155"/>
    <n v="9.6872000000000007"/>
    <n v="-83.868629999999996"/>
    <n v="2780"/>
    <s v="Low"/>
    <d v="2012-06-19T00:00:00"/>
    <d v="2012-08-03T00:00:00"/>
    <n v="46"/>
  </r>
  <r>
    <x v="5"/>
    <x v="12"/>
    <x v="56"/>
    <x v="187"/>
    <n v="185871"/>
    <n v="1073502"/>
    <n v="9.6994199999999999"/>
    <n v="-83.862530000000007"/>
    <n v="2673"/>
    <s v="Low"/>
    <d v="2012-06-19T00:00:00"/>
    <d v="2012-08-03T00:00:00"/>
    <n v="46"/>
  </r>
  <r>
    <x v="5"/>
    <x v="12"/>
    <x v="56"/>
    <x v="188"/>
    <n v="186331"/>
    <n v="1073102"/>
    <n v="9.6958300000000008"/>
    <n v="-83.858320000000006"/>
    <n v="2673"/>
    <s v="Low"/>
    <d v="2012-06-19T00:00:00"/>
    <d v="2012-08-03T00:00:00"/>
    <n v="46"/>
  </r>
  <r>
    <x v="5"/>
    <x v="12"/>
    <x v="56"/>
    <x v="189"/>
    <n v="186414"/>
    <n v="1074887"/>
    <n v="9.7119700000000009"/>
    <n v="-83.857699999999994"/>
    <n v="2344"/>
    <s v="Low"/>
    <d v="2012-06-19T00:00:00"/>
    <d v="2012-08-03T00:00:00"/>
    <n v="46"/>
  </r>
  <r>
    <x v="5"/>
    <x v="12"/>
    <x v="57"/>
    <x v="190"/>
    <n v="188010"/>
    <n v="1068530"/>
    <n v="9.6546699999999994"/>
    <n v="-83.842680000000001"/>
    <n v="2702"/>
    <s v="Low"/>
    <d v="2012-06-20T00:00:00"/>
    <d v="2012-08-03T00:00:00"/>
    <n v="45"/>
  </r>
  <r>
    <x v="5"/>
    <x v="12"/>
    <x v="57"/>
    <x v="191"/>
    <n v="189245"/>
    <n v="1068909"/>
    <n v="9.6581799999999998"/>
    <n v="-83.831469999999996"/>
    <n v="2613"/>
    <s v="Low"/>
    <d v="2012-06-19T00:00:00"/>
    <d v="2012-08-03T00:00:00"/>
    <n v="46"/>
  </r>
  <r>
    <x v="5"/>
    <x v="12"/>
    <x v="57"/>
    <x v="192"/>
    <n v="189763"/>
    <n v="1069067"/>
    <n v="9.6596499999999992"/>
    <n v="-83.826769999999996"/>
    <n v="2561"/>
    <s v="Low"/>
    <d v="2012-06-20T00:00:00"/>
    <d v="2012-08-03T00:00:00"/>
    <n v="45"/>
  </r>
  <r>
    <x v="5"/>
    <x v="12"/>
    <x v="58"/>
    <x v="193"/>
    <n v="193660"/>
    <n v="1074411"/>
    <n v="9.7082200000000007"/>
    <n v="-83.791679999999999"/>
    <n v="1619"/>
    <s v="High"/>
    <d v="2012-06-18T00:00:00"/>
    <d v="2012-08-04T00:00:00"/>
    <n v="48"/>
  </r>
  <r>
    <x v="5"/>
    <x v="12"/>
    <x v="58"/>
    <x v="194"/>
    <n v="194703"/>
    <n v="1072980"/>
    <n v="9.6953700000000005"/>
    <n v="-83.782079999999993"/>
    <n v="1618"/>
    <s v="High"/>
    <d v="2012-06-18T00:00:00"/>
    <d v="2012-08-04T00:00:00"/>
    <n v="48"/>
  </r>
  <r>
    <x v="5"/>
    <x v="12"/>
    <x v="58"/>
    <x v="195"/>
    <n v="194838"/>
    <n v="1075429"/>
    <n v="9.7174999999999994"/>
    <n v="-83.781030000000001"/>
    <n v="1564"/>
    <s v="High"/>
    <d v="2012-06-18T00:00:00"/>
    <d v="2012-08-04T00:00:00"/>
    <n v="48"/>
  </r>
  <r>
    <x v="5"/>
    <x v="12"/>
    <x v="58"/>
    <x v="196"/>
    <n v="195024"/>
    <n v="1074245"/>
    <n v="9.7068700000000003"/>
    <n v="-83.77928"/>
    <n v="1506"/>
    <s v="High"/>
    <d v="2012-06-18T00:00:00"/>
    <d v="2012-08-04T00:00:00"/>
    <n v="48"/>
  </r>
  <r>
    <x v="20"/>
    <x v="12"/>
    <x v="60"/>
    <x v="197"/>
    <n v="195370"/>
    <n v="1076694"/>
    <n v="9.7289600000000007"/>
    <n v="-83.77628"/>
    <n v="1541"/>
    <m/>
    <d v="2017-06-10T00:00:00"/>
    <d v="2017-07-19T00:00:00"/>
    <n v="0"/>
  </r>
  <r>
    <x v="5"/>
    <x v="12"/>
    <x v="58"/>
    <x v="198"/>
    <n v="195880"/>
    <n v="1073078"/>
    <n v="9.6963299999999997"/>
    <n v="-83.771370000000005"/>
    <n v="1632"/>
    <s v="High"/>
    <d v="2012-06-18T00:00:00"/>
    <d v="2012-08-04T00:00:00"/>
    <n v="48"/>
  </r>
  <r>
    <x v="5"/>
    <x v="12"/>
    <x v="58"/>
    <x v="199"/>
    <n v="197207"/>
    <n v="1072357"/>
    <n v="9.6899200000000008"/>
    <n v="-83.759230000000002"/>
    <n v="1668"/>
    <s v="High"/>
    <d v="2012-06-18T00:00:00"/>
    <d v="2012-08-04T00:00:00"/>
    <n v="48"/>
  </r>
  <r>
    <x v="22"/>
    <x v="12"/>
    <x v="56"/>
    <x v="186"/>
    <n v="185190"/>
    <n v="1072155"/>
    <n v="9.6872000000000007"/>
    <n v="-83.868633000000003"/>
    <n v="2780"/>
    <s v="Moderate Low"/>
    <d v="2013-07-13T00:00:00"/>
    <d v="2013-07-23T00:00:00"/>
    <n v="11"/>
  </r>
  <r>
    <x v="16"/>
    <x v="12"/>
    <x v="56"/>
    <x v="189"/>
    <n v="186414"/>
    <n v="1074887"/>
    <n v="9.7119669999999996"/>
    <n v="-83.857699999999994"/>
    <n v="2344"/>
    <s v="Moderate Low"/>
    <d v="2016-06-06T00:00:00"/>
    <d v="2016-07-07T00:00:00"/>
    <n v="32"/>
  </r>
  <r>
    <x v="22"/>
    <x v="12"/>
    <x v="56"/>
    <x v="189"/>
    <n v="186414"/>
    <n v="1074887"/>
    <n v="9.7119669999999996"/>
    <n v="-83.857699999999994"/>
    <n v="2344"/>
    <s v="Moderate Low"/>
    <d v="2013-07-13T00:00:00"/>
    <d v="2013-07-27T00:00:00"/>
    <n v="15"/>
  </r>
  <r>
    <x v="22"/>
    <x v="12"/>
    <x v="59"/>
    <x v="201"/>
    <n v="186500"/>
    <n v="1075997"/>
    <n v="9.7174999999999994"/>
    <n v="-83.781032999999994"/>
    <n v="2090"/>
    <s v="Low"/>
    <d v="2013-07-18T00:00:00"/>
    <d v="2013-07-18T00:00:00"/>
    <n v="1"/>
  </r>
  <r>
    <x v="22"/>
    <x v="12"/>
    <x v="59"/>
    <x v="198"/>
    <n v="186525"/>
    <n v="1075281"/>
    <n v="9.6963329999999992"/>
    <n v="-83.771366999999998"/>
    <n v="2240"/>
    <s v="Low"/>
    <d v="2013-07-11T00:00:00"/>
    <d v="2013-07-28T00:00:00"/>
    <n v="18"/>
  </r>
  <r>
    <x v="22"/>
    <x v="12"/>
    <x v="59"/>
    <x v="200"/>
    <n v="186541"/>
    <n v="1076664"/>
    <n v="9.6953669999999992"/>
    <n v="-83.782083"/>
    <n v="2201"/>
    <s v="Low"/>
    <d v="2013-07-09T00:00:00"/>
    <d v="2013-07-27T00:00:00"/>
    <n v="19"/>
  </r>
  <r>
    <x v="15"/>
    <x v="12"/>
    <x v="60"/>
    <x v="196"/>
    <n v="195024"/>
    <n v="1074245"/>
    <n v="9.7068670000000008"/>
    <n v="-83.779283000000007"/>
    <n v="1508"/>
    <s v="High"/>
    <d v="2015-06-09T00:00:00"/>
    <d v="2015-06-24T00:00:00"/>
    <n v="16"/>
  </r>
  <r>
    <x v="11"/>
    <x v="12"/>
    <x v="60"/>
    <x v="197"/>
    <n v="195370"/>
    <n v="1076694"/>
    <n v="9.7289600000000007"/>
    <n v="-83.77628"/>
    <n v="1541"/>
    <m/>
    <d v="2017-08-05T00:00:00"/>
    <d v="2017-09-07T00:00:00"/>
    <n v="0"/>
  </r>
  <r>
    <x v="16"/>
    <x v="12"/>
    <x v="60"/>
    <x v="195"/>
    <n v="195024"/>
    <n v="1074243"/>
    <n v="9.7067920000000001"/>
    <n v="-83.779250000000005"/>
    <n v="1508"/>
    <s v="High"/>
    <d v="2016-07-06T00:00:00"/>
    <d v="2016-11-14T00:00:00"/>
    <n v="132"/>
  </r>
  <r>
    <x v="16"/>
    <x v="12"/>
    <x v="60"/>
    <x v="195"/>
    <n v="195024"/>
    <n v="1074243"/>
    <n v="9.7067920000000001"/>
    <n v="-83.779250000000005"/>
    <n v="1508"/>
    <s v="High"/>
    <d v="2016-07-06T00:00:00"/>
    <d v="2016-11-14T00:00:00"/>
    <n v="0"/>
  </r>
  <r>
    <x v="11"/>
    <x v="12"/>
    <x v="60"/>
    <x v="197"/>
    <n v="195370"/>
    <n v="1076694"/>
    <n v="9.7289600000000007"/>
    <n v="-83.77628"/>
    <n v="1541"/>
    <m/>
    <d v="2017-08-07T00:00:00"/>
    <d v="2017-10-25T00:00:00"/>
    <n v="17"/>
  </r>
  <r>
    <x v="14"/>
    <x v="12"/>
    <x v="60"/>
    <x v="197"/>
    <n v="195370"/>
    <n v="1076694"/>
    <n v="9.7289600000000007"/>
    <n v="-83.77628"/>
    <n v="1541"/>
    <m/>
    <d v="2018-03-12T00:00:00"/>
    <d v="2018-03-14T00:00:00"/>
    <n v="3"/>
  </r>
  <r>
    <x v="16"/>
    <x v="12"/>
    <x v="60"/>
    <x v="196"/>
    <n v="197217"/>
    <n v="1072365"/>
    <n v="9.6899960000000007"/>
    <n v="-83.759139000000005"/>
    <n v="1685"/>
    <s v="High"/>
    <d v="2016-07-06T00:00:00"/>
    <d v="2016-09-28T00:00:00"/>
    <n v="85"/>
  </r>
  <r>
    <x v="16"/>
    <x v="12"/>
    <x v="60"/>
    <x v="196"/>
    <n v="197217"/>
    <n v="1072365"/>
    <n v="9.6899960000000007"/>
    <n v="-83.759139000000005"/>
    <n v="1685"/>
    <s v="High"/>
    <d v="2016-07-06T00:00:00"/>
    <d v="2016-09-28T00:00:00"/>
    <n v="0"/>
  </r>
  <r>
    <x v="16"/>
    <x v="12"/>
    <x v="60"/>
    <x v="194"/>
    <n v="197753"/>
    <n v="1071996"/>
    <n v="9.6866970000000006"/>
    <n v="-83.754238000000001"/>
    <n v="1667"/>
    <s v="High"/>
    <d v="2016-01-20T00:00:00"/>
    <d v="2016-11-08T00:00:00"/>
    <n v="294"/>
  </r>
  <r>
    <x v="16"/>
    <x v="12"/>
    <x v="60"/>
    <x v="194"/>
    <n v="197753"/>
    <n v="1071996"/>
    <n v="9.6866970000000006"/>
    <n v="-83.754238000000001"/>
    <n v="1667"/>
    <s v="High"/>
    <d v="2016-01-20T00:00:00"/>
    <d v="2016-11-08T00:00:00"/>
    <n v="0"/>
  </r>
  <r>
    <x v="20"/>
    <x v="12"/>
    <x v="60"/>
    <x v="195"/>
    <n v="195024"/>
    <n v="1074242"/>
    <n v="9.7067899999999998"/>
    <n v="-83.779250000000005"/>
    <n v="1508"/>
    <m/>
    <d v="2016-11-14T00:00:00"/>
    <d v="2017-06-10T00:00:00"/>
    <n v="209"/>
  </r>
  <r>
    <x v="20"/>
    <x v="12"/>
    <x v="60"/>
    <x v="195"/>
    <n v="195024"/>
    <n v="1074242"/>
    <n v="9.7067899999999998"/>
    <n v="-83.779250000000005"/>
    <n v="1508"/>
    <m/>
    <m/>
    <m/>
    <n v="0"/>
  </r>
  <r>
    <x v="20"/>
    <x v="12"/>
    <x v="60"/>
    <x v="195"/>
    <n v="195024"/>
    <n v="1074242"/>
    <n v="9.7067899999999998"/>
    <n v="-83.779250000000005"/>
    <n v="1508"/>
    <m/>
    <d v="2017-06-10T00:00:00"/>
    <d v="2017-08-04T00:00:00"/>
    <n v="56"/>
  </r>
  <r>
    <x v="20"/>
    <x v="12"/>
    <x v="60"/>
    <x v="195"/>
    <n v="195024"/>
    <n v="1074242"/>
    <n v="9.7067899999999998"/>
    <n v="-83.779250000000005"/>
    <n v="1508"/>
    <m/>
    <m/>
    <m/>
    <n v="0"/>
  </r>
  <r>
    <x v="14"/>
    <x v="12"/>
    <x v="17"/>
    <x v="197"/>
    <s v="9.7175028°"/>
    <n v="1075429.69"/>
    <n v="9.7175028000000001"/>
    <n v="-83.781037600000005"/>
    <n v="1564"/>
    <m/>
    <d v="2018-04-13T00:00:00"/>
    <d v="2018-07-26T00:00:00"/>
    <n v="105"/>
  </r>
  <r>
    <x v="14"/>
    <x v="12"/>
    <x v="17"/>
    <x v="197"/>
    <n v="195369.64"/>
    <n v="1076646.05"/>
    <n v="9.7285307999999997"/>
    <n v="-83.776281999999995"/>
    <n v="1541"/>
    <m/>
    <d v="2018-07-31T00:00:00"/>
    <d v="2018-07-31T00:00:00"/>
    <n v="1"/>
  </r>
  <r>
    <x v="14"/>
    <x v="12"/>
    <x v="60"/>
    <x v="197"/>
    <n v="195370"/>
    <n v="1076694"/>
    <n v="9.7289600000000007"/>
    <n v="-83.77628"/>
    <n v="1541"/>
    <m/>
    <m/>
    <m/>
    <n v="0"/>
  </r>
  <r>
    <x v="20"/>
    <x v="12"/>
    <x v="60"/>
    <x v="197"/>
    <n v="195370"/>
    <n v="1076694"/>
    <n v="9.7289600000000007"/>
    <n v="-83.77628"/>
    <n v="1541"/>
    <m/>
    <m/>
    <m/>
    <n v="0"/>
  </r>
  <r>
    <x v="20"/>
    <x v="12"/>
    <x v="60"/>
    <x v="196"/>
    <n v="197217"/>
    <n v="1072366"/>
    <n v="9.69"/>
    <n v="-83.759140000000002"/>
    <n v="1685"/>
    <m/>
    <d v="2017-05-15T00:00:00"/>
    <d v="2017-05-29T00:00:00"/>
    <n v="0"/>
  </r>
  <r>
    <x v="20"/>
    <x v="12"/>
    <x v="60"/>
    <x v="196"/>
    <n v="197217"/>
    <n v="1072366"/>
    <n v="9.69"/>
    <n v="-83.759140000000002"/>
    <n v="1685"/>
    <m/>
    <d v="2017-05-15T00:00:00"/>
    <d v="2017-06-28T00:00:00"/>
    <n v="45"/>
  </r>
  <r>
    <x v="20"/>
    <x v="12"/>
    <x v="60"/>
    <x v="196"/>
    <n v="197217"/>
    <n v="1072366"/>
    <n v="9.69"/>
    <n v="-83.759140000000002"/>
    <n v="1685"/>
    <m/>
    <d v="2017-06-10T00:00:00"/>
    <d v="2017-06-28T00:00:00"/>
    <n v="0"/>
  </r>
  <r>
    <x v="20"/>
    <x v="12"/>
    <x v="60"/>
    <x v="196"/>
    <n v="197217"/>
    <n v="1072366"/>
    <n v="9.69"/>
    <n v="-83.759140000000002"/>
    <n v="1685"/>
    <m/>
    <m/>
    <m/>
    <n v="0"/>
  </r>
  <r>
    <x v="20"/>
    <x v="12"/>
    <x v="60"/>
    <x v="194"/>
    <n v="197752"/>
    <n v="1071996"/>
    <n v="9.6867000000000001"/>
    <n v="-83.754239999999996"/>
    <n v="1667"/>
    <m/>
    <d v="2016-11-08T00:00:00"/>
    <d v="2017-08-04T00:00:00"/>
    <n v="270"/>
  </r>
  <r>
    <x v="20"/>
    <x v="12"/>
    <x v="60"/>
    <x v="194"/>
    <n v="197752"/>
    <n v="1071996"/>
    <n v="9.6867000000000001"/>
    <n v="-83.754239999999996"/>
    <n v="1667"/>
    <m/>
    <d v="2016-11-08T00:00:00"/>
    <d v="2017-06-10T00:00:00"/>
    <n v="0"/>
  </r>
  <r>
    <x v="20"/>
    <x v="12"/>
    <x v="60"/>
    <x v="194"/>
    <n v="197752"/>
    <n v="1071996"/>
    <n v="9.6867000000000001"/>
    <n v="-83.754239999999996"/>
    <n v="1667"/>
    <m/>
    <d v="2017-06-10T00:00:00"/>
    <d v="2017-08-04T00:00:00"/>
    <n v="0"/>
  </r>
  <r>
    <x v="20"/>
    <x v="12"/>
    <x v="60"/>
    <x v="194"/>
    <n v="197752"/>
    <n v="1071996"/>
    <n v="9.6867000000000001"/>
    <n v="-83.754239999999996"/>
    <n v="1667"/>
    <m/>
    <d v="2017-06-10T00:00:00"/>
    <d v="2017-08-04T00:00:00"/>
    <n v="0"/>
  </r>
  <r>
    <x v="44"/>
    <x v="12"/>
    <x v="56"/>
    <x v="186"/>
    <m/>
    <m/>
    <n v="9.6872000000000007"/>
    <n v="-83.868600000000001"/>
    <n v="2780"/>
    <m/>
    <d v="2015-08-13T00:00:00"/>
    <d v="2015-11-26T00:00:00"/>
    <n v="106"/>
  </r>
  <r>
    <x v="20"/>
    <x v="12"/>
    <x v="56"/>
    <x v="186"/>
    <m/>
    <m/>
    <n v="9.6872000000000007"/>
    <n v="-83.868600000000001"/>
    <n v="2780"/>
    <m/>
    <d v="2017-04-03T00:00:00"/>
    <d v="2017-06-05T00:00:00"/>
    <n v="64"/>
  </r>
  <r>
    <x v="18"/>
    <x v="13"/>
    <x v="62"/>
    <x v="209"/>
    <n v="204838"/>
    <n v="1057687"/>
    <n v="9.557931"/>
    <n v="-83.688699"/>
    <n v="2803"/>
    <s v="Low"/>
    <d v="2016-07-09T00:00:00"/>
    <d v="2017-05-23T00:00:00"/>
    <n v="319"/>
  </r>
  <r>
    <x v="1"/>
    <x v="13"/>
    <x v="62"/>
    <x v="209"/>
    <n v="204838"/>
    <n v="1057687"/>
    <n v="9.557931"/>
    <n v="-83.688699"/>
    <n v="2803"/>
    <s v="Low"/>
    <d v="2014-07-28T00:00:00"/>
    <d v="2014-10-04T00:00:00"/>
    <n v="69"/>
  </r>
  <r>
    <x v="1"/>
    <x v="13"/>
    <x v="62"/>
    <x v="210"/>
    <n v="205214"/>
    <n v="1057596"/>
    <n v="9.5571350000000006"/>
    <n v="-83.685270000000003"/>
    <n v="2768"/>
    <s v="Low"/>
    <d v="2014-08-06T00:00:00"/>
    <d v="2015-01-06T00:00:00"/>
    <n v="154"/>
  </r>
  <r>
    <x v="4"/>
    <x v="13"/>
    <x v="62"/>
    <x v="211"/>
    <n v="204853"/>
    <n v="1057969"/>
    <n v="9.5604790000000008"/>
    <n v="-83.688582999999994"/>
    <n v="2780"/>
    <s v="Low"/>
    <d v="2015-05-21T00:00:00"/>
    <d v="2015-06-28T00:00:00"/>
    <n v="39"/>
  </r>
  <r>
    <x v="1"/>
    <x v="13"/>
    <x v="62"/>
    <x v="211"/>
    <n v="204853"/>
    <n v="1057969"/>
    <n v="9.5604790000000008"/>
    <n v="-83.688582999999994"/>
    <n v="2780"/>
    <s v="Low"/>
    <d v="2014-06-06T00:00:00"/>
    <d v="2015-02-16T00:00:00"/>
    <n v="256"/>
  </r>
  <r>
    <x v="1"/>
    <x v="13"/>
    <x v="62"/>
    <x v="212"/>
    <n v="205048"/>
    <n v="1058276"/>
    <n v="9.5632669999999997"/>
    <n v="-83.68683"/>
    <n v="2723"/>
    <s v="Low"/>
    <d v="2014-08-19T00:00:00"/>
    <d v="2014-11-17T00:00:00"/>
    <n v="91"/>
  </r>
  <r>
    <x v="19"/>
    <x v="13"/>
    <x v="62"/>
    <x v="209"/>
    <n v="204838"/>
    <n v="1057687"/>
    <n v="9.557931"/>
    <n v="-83.688699"/>
    <n v="2803"/>
    <s v="Low"/>
    <d v="2014-05-16T00:00:00"/>
    <d v="2014-07-12T00:00:00"/>
    <n v="58"/>
  </r>
  <r>
    <x v="4"/>
    <x v="13"/>
    <x v="62"/>
    <x v="210"/>
    <n v="205214"/>
    <n v="1057596"/>
    <n v="9.5571350000000006"/>
    <n v="-83.685270000000003"/>
    <n v="2768"/>
    <s v="Low"/>
    <d v="2015-02-26T00:00:00"/>
    <d v="2015-03-15T00:00:00"/>
    <n v="18"/>
  </r>
  <r>
    <x v="19"/>
    <x v="13"/>
    <x v="62"/>
    <x v="210"/>
    <n v="205214"/>
    <n v="1057596"/>
    <n v="9.5571350000000006"/>
    <n v="-83.685270000000003"/>
    <n v="2768"/>
    <s v="Low"/>
    <d v="2014-06-01T00:00:00"/>
    <d v="2014-08-05T00:00:00"/>
    <n v="66"/>
  </r>
  <r>
    <x v="19"/>
    <x v="13"/>
    <x v="62"/>
    <x v="211"/>
    <n v="204853"/>
    <n v="1057969"/>
    <n v="9.5604790000000008"/>
    <n v="-83.688582999999994"/>
    <n v="2780"/>
    <s v="Low"/>
    <d v="2014-06-05T00:00:00"/>
    <d v="2014-06-05T00:00:00"/>
    <n v="1"/>
  </r>
  <r>
    <x v="19"/>
    <x v="13"/>
    <x v="62"/>
    <x v="212"/>
    <n v="205048"/>
    <n v="1058276"/>
    <n v="9.5632669999999997"/>
    <n v="-83.68683"/>
    <n v="2723"/>
    <s v="Low"/>
    <d v="2014-05-17T00:00:00"/>
    <d v="2014-08-18T00:00:00"/>
    <n v="94"/>
  </r>
  <r>
    <x v="15"/>
    <x v="9"/>
    <x v="10"/>
    <x v="88"/>
    <n v="763637"/>
    <n v="1083718"/>
    <n v="9.7982999999999993"/>
    <n v="-84.596900000000005"/>
    <n v="22"/>
    <s v="Low"/>
    <d v="2015-06-24T00:00:00"/>
    <d v="2015-07-25T00:00:00"/>
    <n v="32"/>
  </r>
  <r>
    <x v="44"/>
    <x v="12"/>
    <x v="61"/>
    <x v="202"/>
    <n v="191491"/>
    <n v="1069596"/>
    <n v="9.6645534529999999"/>
    <n v="-83.811070259999994"/>
    <n v="2659"/>
    <s v="Low"/>
    <d v="2015-08-16T00:00:00"/>
    <d v="2015-12-24T00:00:00"/>
    <n v="131"/>
  </r>
  <r>
    <x v="44"/>
    <x v="12"/>
    <x v="61"/>
    <x v="203"/>
    <n v="192028"/>
    <n v="1070266"/>
    <n v="9.670617"/>
    <n v="-83.806233000000006"/>
    <n v="2592"/>
    <s v="Low"/>
    <d v="2015-12-16T00:00:00"/>
    <d v="2016-01-29T00:00:00"/>
    <n v="45"/>
  </r>
  <r>
    <x v="44"/>
    <x v="12"/>
    <x v="61"/>
    <x v="204"/>
    <n v="192382"/>
    <n v="1071289"/>
    <n v="9.6799330000000001"/>
    <n v="-83.803083000000001"/>
    <n v="2455"/>
    <s v="Low"/>
    <d v="2015-08-16T00:00:00"/>
    <d v="2015-10-16T00:00:00"/>
    <n v="62"/>
  </r>
  <r>
    <x v="16"/>
    <x v="11"/>
    <x v="41"/>
    <x v="185"/>
    <n v="192867"/>
    <n v="1057094"/>
    <n v="9.5515170000000005"/>
    <n v="-83.797416999999996"/>
    <n v="2549"/>
    <s v="High"/>
    <d v="2016-07-19T00:00:00"/>
    <d v="2016-09-10T00:00:00"/>
    <n v="54"/>
  </r>
  <r>
    <x v="20"/>
    <x v="11"/>
    <x v="41"/>
    <x v="185"/>
    <n v="192867"/>
    <n v="1057094"/>
    <n v="9.5515170000000005"/>
    <n v="-83.797416999999996"/>
    <n v="2549"/>
    <s v="High"/>
    <d v="2017-05-25T00:00:00"/>
    <d v="2017-06-07T00:00:00"/>
    <n v="14"/>
  </r>
  <r>
    <x v="31"/>
    <x v="11"/>
    <x v="41"/>
    <x v="185"/>
    <n v="192867"/>
    <n v="1057094"/>
    <n v="9.5515170000000005"/>
    <n v="-83.797416999999996"/>
    <n v="2549"/>
    <s v="High"/>
    <d v="2018-06-25T00:00:00"/>
    <d v="2018-07-20T00:00:00"/>
    <n v="26"/>
  </r>
  <r>
    <x v="31"/>
    <x v="11"/>
    <x v="41"/>
    <x v="185"/>
    <n v="192867"/>
    <n v="1057094"/>
    <n v="9.5515170000000005"/>
    <n v="-83.797416999999996"/>
    <n v="2549"/>
    <s v="High"/>
    <m/>
    <m/>
    <n v="0"/>
  </r>
  <r>
    <x v="41"/>
    <x v="11"/>
    <x v="41"/>
    <x v="185"/>
    <n v="192867"/>
    <n v="1057094"/>
    <n v="9.5515170000000005"/>
    <n v="-83.797416999999996"/>
    <n v="2549"/>
    <s v="High"/>
    <d v="2019-07-03T00:00:00"/>
    <d v="2019-08-12T00:00:00"/>
    <n v="41"/>
  </r>
  <r>
    <x v="4"/>
    <x v="13"/>
    <x v="62"/>
    <x v="209"/>
    <n v="204838"/>
    <n v="1057687"/>
    <n v="9.557931"/>
    <n v="-83.688699"/>
    <n v="2803"/>
    <s v="Low"/>
    <d v="2014-12-07T00:00:00"/>
    <d v="2015-02-18T00:00:00"/>
    <n v="74"/>
  </r>
  <r>
    <x v="19"/>
    <x v="3"/>
    <x v="11"/>
    <x v="36"/>
    <n v="218685"/>
    <n v="1046732"/>
    <n v="9.4598999999999993"/>
    <n v="-83.561920000000001"/>
    <n v="2308"/>
    <s v="High"/>
    <d v="2014-05-02T00:00:00"/>
    <d v="2014-08-26T00:00:00"/>
    <n v="117"/>
  </r>
  <r>
    <x v="4"/>
    <x v="3"/>
    <x v="13"/>
    <x v="27"/>
    <n v="224433"/>
    <n v="1043313"/>
    <n v="9.4293829999999996"/>
    <n v="-83.509383"/>
    <n v="3113"/>
    <s v="Low"/>
    <d v="2014-12-15T00:00:00"/>
    <d v="2015-06-26T00:00:00"/>
    <n v="194"/>
  </r>
  <r>
    <x v="31"/>
    <x v="11"/>
    <x v="37"/>
    <x v="100"/>
    <n v="186470"/>
    <n v="1064101"/>
    <n v="9.6145329999999998"/>
    <n v="-83.856367000000006"/>
    <n v="3087"/>
    <s v="Low"/>
    <d v="2018-06-27T00:00:00"/>
    <d v="2018-07-22T00:00:00"/>
    <n v="26"/>
  </r>
  <r>
    <x v="31"/>
    <x v="11"/>
    <x v="37"/>
    <x v="99"/>
    <n v="186677"/>
    <n v="1064630"/>
    <n v="9.6193329999999992"/>
    <n v="-83.854517000000001"/>
    <n v="3136"/>
    <s v="Low"/>
    <d v="2018-06-27T00:00:00"/>
    <d v="2018-07-22T00:00:00"/>
    <n v="2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Camera Day Summary" cacheId="13" applyNumberFormats="0" applyBorderFormats="0" applyFontFormats="0" applyPatternFormats="0" applyAlignmentFormats="0" applyWidthHeightFormats="0" dataCaption="" updatedVersion="7" compact="0" compactData="0">
  <location ref="A5:B20" firstHeaderRow="1" firstDataRow="1" firstDataCol="1"/>
  <pivotFields count="13">
    <pivotField name="Survey" compact="0" outline="0" multipleItemSelectionAllowed="1" showAll="0"/>
    <pivotField name="Site" axis="axisRow" compact="0" outline="0" multipleItemSelectionAllowed="1" showAll="0" sortType="ascending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name="Trail" compact="0" outline="0" multipleItemSelectionAllowed="1" showAll="0"/>
    <pivotField name="Camera" compact="0" outline="0" multipleItemSelectionAllowed="1" showAll="0"/>
    <pivotField name="X" compact="0" outline="0" multipleItemSelectionAllowed="1" showAll="0"/>
    <pivotField name="Y" compact="0" outline="0" multipleItemSelectionAllowed="1" showAll="0"/>
    <pivotField name="Latitude" compact="0" outline="0" multipleItemSelectionAllowed="1" showAll="0"/>
    <pivotField name="Longitude" compact="0" outline="0" multipleItemSelectionAllowed="1" showAll="0"/>
    <pivotField name="Elevation" compact="0" outline="0" multipleItemSelectionAllowed="1" showAll="0"/>
    <pivotField name="Traffic" compact="0" outline="0" multipleItemSelectionAllowed="1" showAll="0"/>
    <pivotField name="Start Date" compact="0" numFmtId="14" outline="0" multipleItemSelectionAllowed="1" showAll="0"/>
    <pivotField name="End Date" compact="0" numFmtId="14" outline="0" multipleItemSelectionAllowed="1" showAll="0"/>
    <pivotField name="Camera Days" dataField="1" compact="0" outline="0" multipleItemSelectionAllowed="1" showAll="0"/>
  </pivotFields>
  <rowFields count="1">
    <field x="1"/>
  </rowFields>
  <row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rowItems>
  <colItems count="1">
    <i/>
  </colItems>
  <dataFields count="1">
    <dataField name="Sum of Camera Days" fld="12" baseField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1000000}" name="Camera Day Summary 2" cacheId="13" applyNumberFormats="0" applyBorderFormats="0" applyFontFormats="0" applyPatternFormats="0" applyAlignmentFormats="0" applyWidthHeightFormats="0" dataCaption="" updatedVersion="7" compact="0" compactData="0">
  <location ref="D5:E51" firstHeaderRow="1" firstDataRow="1" firstDataCol="1"/>
  <pivotFields count="13">
    <pivotField name="Survey" axis="axisRow" compact="0" outline="0" multipleItemSelectionAllowed="1" showAll="0" sortType="ascending">
      <items count="46">
        <item x="8"/>
        <item x="9"/>
        <item x="10"/>
        <item x="17"/>
        <item x="23"/>
        <item x="21"/>
        <item x="38"/>
        <item x="7"/>
        <item x="0"/>
        <item x="1"/>
        <item x="6"/>
        <item x="18"/>
        <item x="11"/>
        <item x="29"/>
        <item x="25"/>
        <item x="24"/>
        <item x="26"/>
        <item x="30"/>
        <item x="32"/>
        <item x="33"/>
        <item x="35"/>
        <item x="36"/>
        <item x="37"/>
        <item x="42"/>
        <item x="39"/>
        <item x="2"/>
        <item x="3"/>
        <item x="4"/>
        <item x="12"/>
        <item x="13"/>
        <item x="14"/>
        <item x="28"/>
        <item x="43"/>
        <item x="40"/>
        <item x="5"/>
        <item x="22"/>
        <item x="19"/>
        <item x="15"/>
        <item x="16"/>
        <item x="20"/>
        <item x="31"/>
        <item x="41"/>
        <item x="34"/>
        <item x="44"/>
        <item x="27"/>
        <item t="default"/>
      </items>
    </pivotField>
    <pivotField name="Site" compact="0" outline="0" multipleItemSelectionAllowed="1" showAll="0"/>
    <pivotField name="Trail" compact="0" outline="0" multipleItemSelectionAllowed="1" showAll="0"/>
    <pivotField name="Camera" compact="0" outline="0" multipleItemSelectionAllowed="1" showAll="0"/>
    <pivotField name="X" compact="0" outline="0" multipleItemSelectionAllowed="1" showAll="0"/>
    <pivotField name="Y" compact="0" outline="0" multipleItemSelectionAllowed="1" showAll="0"/>
    <pivotField name="Latitude" compact="0" outline="0" multipleItemSelectionAllowed="1" showAll="0"/>
    <pivotField name="Longitude" compact="0" outline="0" multipleItemSelectionAllowed="1" showAll="0"/>
    <pivotField name="Elevation" compact="0" outline="0" multipleItemSelectionAllowed="1" showAll="0"/>
    <pivotField name="Traffic" compact="0" outline="0" multipleItemSelectionAllowed="1" showAll="0"/>
    <pivotField name="Start Date" compact="0" numFmtId="14" outline="0" multipleItemSelectionAllowed="1" showAll="0"/>
    <pivotField name="End Date" compact="0" numFmtId="14" outline="0" multipleItemSelectionAllowed="1" showAll="0"/>
    <pivotField name="Camera Days" dataField="1" compact="0" outline="0" multipleItemSelectionAllowed="1" showAll="0"/>
  </pivotFields>
  <rowFields count="1">
    <field x="0"/>
  </rowFields>
  <rowItems count="4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 t="grand">
      <x/>
    </i>
  </rowItems>
  <colItems count="1">
    <i/>
  </colItems>
  <dataFields count="1">
    <dataField name="Sum of Camera Days" fld="12" baseField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2000000}" name="Camera Day Summary 3" cacheId="13" applyNumberFormats="0" applyBorderFormats="0" applyFontFormats="0" applyPatternFormats="0" applyAlignmentFormats="0" applyWidthHeightFormats="0" dataCaption="" updatedVersion="7" compact="0" compactData="0">
  <location ref="G5:H69" firstHeaderRow="1" firstDataRow="1" firstDataCol="1"/>
  <pivotFields count="13">
    <pivotField name="Survey" compact="0" outline="0" multipleItemSelectionAllowed="1" showAll="0"/>
    <pivotField name="Site" compact="0" outline="0" multipleItemSelectionAllowed="1" showAll="0"/>
    <pivotField name="Trail" axis="axisRow" compact="0" outline="0" multipleItemSelectionAllowed="1" showAll="0" sortType="ascending">
      <items count="64">
        <item x="15"/>
        <item x="25"/>
        <item x="8"/>
        <item x="27"/>
        <item x="50"/>
        <item x="51"/>
        <item x="28"/>
        <item x="48"/>
        <item x="9"/>
        <item x="20"/>
        <item x="47"/>
        <item x="7"/>
        <item x="46"/>
        <item x="44"/>
        <item x="60"/>
        <item x="61"/>
        <item x="59"/>
        <item x="18"/>
        <item x="11"/>
        <item x="5"/>
        <item x="56"/>
        <item x="24"/>
        <item x="43"/>
        <item x="3"/>
        <item x="22"/>
        <item x="19"/>
        <item x="26"/>
        <item x="30"/>
        <item x="40"/>
        <item x="21"/>
        <item x="42"/>
        <item x="34"/>
        <item x="33"/>
        <item x="0"/>
        <item x="2"/>
        <item x="1"/>
        <item x="12"/>
        <item x="39"/>
        <item x="6"/>
        <item x="36"/>
        <item x="58"/>
        <item x="52"/>
        <item x="23"/>
        <item x="10"/>
        <item x="57"/>
        <item x="53"/>
        <item x="35"/>
        <item x="32"/>
        <item x="41"/>
        <item x="55"/>
        <item x="13"/>
        <item x="14"/>
        <item x="45"/>
        <item x="31"/>
        <item x="38"/>
        <item x="4"/>
        <item x="29"/>
        <item x="16"/>
        <item x="62"/>
        <item x="37"/>
        <item x="54"/>
        <item x="49"/>
        <item x="17"/>
        <item t="default"/>
      </items>
    </pivotField>
    <pivotField name="Camera" compact="0" outline="0" multipleItemSelectionAllowed="1" showAll="0"/>
    <pivotField name="X" compact="0" outline="0" multipleItemSelectionAllowed="1" showAll="0"/>
    <pivotField name="Y" compact="0" outline="0" multipleItemSelectionAllowed="1" showAll="0"/>
    <pivotField name="Latitude" compact="0" outline="0" multipleItemSelectionAllowed="1" showAll="0"/>
    <pivotField name="Longitude" compact="0" outline="0" multipleItemSelectionAllowed="1" showAll="0"/>
    <pivotField name="Elevation" compact="0" outline="0" multipleItemSelectionAllowed="1" showAll="0"/>
    <pivotField name="Traffic" compact="0" outline="0" multipleItemSelectionAllowed="1" showAll="0"/>
    <pivotField name="Start Date" compact="0" numFmtId="14" outline="0" multipleItemSelectionAllowed="1" showAll="0"/>
    <pivotField name="End Date" compact="0" numFmtId="14" outline="0" multipleItemSelectionAllowed="1" showAll="0"/>
    <pivotField name="Camera Days" dataField="1" compact="0" outline="0" multipleItemSelectionAllowed="1" showAll="0"/>
  </pivotFields>
  <rowFields count="1">
    <field x="2"/>
  </rowFields>
  <rowItems count="6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 t="grand">
      <x/>
    </i>
  </rowItems>
  <colItems count="1">
    <i/>
  </colItems>
  <dataFields count="1">
    <dataField name="Sum of Camera Days" fld="12" baseField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3000000}" name="Camera Day Summary 4" cacheId="13" applyNumberFormats="0" applyBorderFormats="0" applyFontFormats="0" applyPatternFormats="0" applyAlignmentFormats="0" applyWidthHeightFormats="0" dataCaption="" updatedVersion="7" compact="0" compactData="0">
  <location ref="K5:L219" firstHeaderRow="1" firstDataRow="1" firstDataCol="1"/>
  <pivotFields count="13">
    <pivotField name="Survey" compact="0" outline="0" multipleItemSelectionAllowed="1" showAll="0"/>
    <pivotField name="Site" compact="0" outline="0" multipleItemSelectionAllowed="1" showAll="0"/>
    <pivotField name="Trail" compact="0" outline="0" multipleItemSelectionAllowed="1" showAll="0"/>
    <pivotField name="Camera" axis="axisRow" compact="0" outline="0" multipleItemSelectionAllowed="1" showAll="0" sortType="ascending">
      <items count="214"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0"/>
        <item x="1"/>
        <item x="5"/>
        <item x="10"/>
        <item x="4"/>
        <item x="9"/>
        <item x="6"/>
        <item x="3"/>
        <item x="2"/>
        <item x="39"/>
        <item x="22"/>
        <item x="36"/>
        <item x="43"/>
        <item x="27"/>
        <item x="28"/>
        <item x="29"/>
        <item x="30"/>
        <item x="31"/>
        <item x="35"/>
        <item x="32"/>
        <item x="33"/>
        <item x="34"/>
        <item x="41"/>
        <item x="23"/>
        <item x="37"/>
        <item x="24"/>
        <item x="25"/>
        <item x="42"/>
        <item x="26"/>
        <item x="38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1"/>
        <item x="12"/>
        <item x="13"/>
        <item x="15"/>
        <item x="14"/>
        <item x="56"/>
        <item x="57"/>
        <item x="58"/>
        <item x="59"/>
        <item x="60"/>
        <item x="61"/>
        <item x="144"/>
        <item x="143"/>
        <item x="142"/>
        <item x="141"/>
        <item x="140"/>
        <item x="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44"/>
        <item x="45"/>
        <item x="127"/>
        <item x="126"/>
        <item x="125"/>
        <item x="124"/>
        <item x="123"/>
        <item x="122"/>
        <item x="121"/>
        <item x="120"/>
        <item x="46"/>
        <item x="50"/>
        <item x="51"/>
        <item x="52"/>
        <item x="47"/>
        <item x="53"/>
        <item x="48"/>
        <item x="54"/>
        <item x="49"/>
        <item x="55"/>
        <item x="119"/>
        <item x="118"/>
        <item x="117"/>
        <item x="116"/>
        <item x="115"/>
        <item x="114"/>
        <item x="113"/>
        <item x="112"/>
        <item x="111"/>
        <item x="89"/>
        <item x="90"/>
        <item x="91"/>
        <item x="92"/>
        <item x="93"/>
        <item x="110"/>
        <item x="109"/>
        <item x="64"/>
        <item x="62"/>
        <item x="65"/>
        <item x="63"/>
        <item x="66"/>
        <item x="108"/>
        <item x="8"/>
        <item x="7"/>
        <item x="75"/>
        <item x="76"/>
        <item x="77"/>
        <item x="78"/>
        <item x="79"/>
        <item x="80"/>
        <item x="81"/>
        <item x="82"/>
        <item x="83"/>
        <item x="84"/>
        <item x="88"/>
        <item x="85"/>
        <item x="86"/>
        <item x="87"/>
        <item x="67"/>
        <item x="74"/>
        <item x="68"/>
        <item x="69"/>
        <item x="70"/>
        <item x="71"/>
        <item x="72"/>
        <item x="73"/>
        <item x="16"/>
        <item x="17"/>
        <item x="18"/>
        <item x="19"/>
        <item x="20"/>
        <item x="21"/>
        <item x="201"/>
        <item x="200"/>
        <item x="197"/>
        <item x="202"/>
        <item x="203"/>
        <item x="204"/>
        <item x="205"/>
        <item x="206"/>
        <item x="207"/>
        <item x="199"/>
        <item x="193"/>
        <item x="186"/>
        <item x="187"/>
        <item x="189"/>
        <item x="188"/>
        <item x="191"/>
        <item x="192"/>
        <item x="190"/>
        <item x="208"/>
        <item x="195"/>
        <item x="196"/>
        <item x="194"/>
        <item x="198"/>
        <item x="107"/>
        <item x="106"/>
        <item x="105"/>
        <item x="104"/>
        <item x="103"/>
        <item x="102"/>
        <item x="101"/>
        <item x="209"/>
        <item x="210"/>
        <item x="211"/>
        <item x="212"/>
        <item x="100"/>
        <item x="99"/>
        <item x="98"/>
        <item x="97"/>
        <item x="96"/>
        <item x="95"/>
        <item x="94"/>
        <item t="default"/>
      </items>
    </pivotField>
    <pivotField name="X" compact="0" outline="0" multipleItemSelectionAllowed="1" showAll="0"/>
    <pivotField name="Y" compact="0" outline="0" multipleItemSelectionAllowed="1" showAll="0"/>
    <pivotField name="Latitude" compact="0" outline="0" multipleItemSelectionAllowed="1" showAll="0"/>
    <pivotField name="Longitude" compact="0" outline="0" multipleItemSelectionAllowed="1" showAll="0"/>
    <pivotField name="Elevation" compact="0" outline="0" multipleItemSelectionAllowed="1" showAll="0"/>
    <pivotField name="Traffic" compact="0" outline="0" multipleItemSelectionAllowed="1" showAll="0"/>
    <pivotField name="Start Date" compact="0" numFmtId="14" outline="0" multipleItemSelectionAllowed="1" showAll="0"/>
    <pivotField name="End Date" compact="0" numFmtId="14" outline="0" multipleItemSelectionAllowed="1" showAll="0"/>
    <pivotField name="Camera Days" dataField="1" compact="0" outline="0" multipleItemSelectionAllowed="1" showAll="0"/>
  </pivotFields>
  <rowFields count="1">
    <field x="3"/>
  </rowFields>
  <rowItems count="2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 t="grand">
      <x/>
    </i>
  </rowItems>
  <colItems count="1">
    <i/>
  </colItems>
  <dataFields count="1">
    <dataField name="Sum of Camera Days" fld="12" baseField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drawing" Target="../drawings/drawing1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filterMode="1"/>
  <dimension ref="A1:AA1181"/>
  <sheetViews>
    <sheetView tabSelected="1" topLeftCell="B1" workbookViewId="0">
      <pane ySplit="1" topLeftCell="A2" activePane="bottomLeft" state="frozen"/>
      <selection pane="bottomLeft" activeCell="M20" sqref="M20"/>
    </sheetView>
  </sheetViews>
  <sheetFormatPr baseColWidth="10" defaultColWidth="14.5" defaultRowHeight="15" customHeight="1" x14ac:dyDescent="0.2"/>
  <cols>
    <col min="1" max="1" width="19.5" customWidth="1"/>
    <col min="2" max="2" width="18.6640625" customWidth="1"/>
    <col min="3" max="3" width="24.33203125" customWidth="1"/>
    <col min="4" max="4" width="14.1640625" customWidth="1"/>
    <col min="5" max="5" width="13.5" customWidth="1"/>
    <col min="6" max="6" width="15" customWidth="1"/>
    <col min="7" max="7" width="16.33203125" customWidth="1"/>
    <col min="8" max="8" width="15.83203125" customWidth="1"/>
    <col min="9" max="9" width="13.5" customWidth="1"/>
    <col min="10" max="10" width="16" customWidth="1"/>
    <col min="11" max="11" width="14.6640625" customWidth="1"/>
    <col min="12" max="12" width="13.1640625" customWidth="1"/>
    <col min="13" max="14" width="17.5" customWidth="1"/>
    <col min="15" max="15" width="37.83203125" customWidth="1"/>
    <col min="16" max="16" width="14.1640625" customWidth="1"/>
    <col min="17" max="27" width="8.6640625" customWidth="1"/>
  </cols>
  <sheetData>
    <row r="1" spans="1:27" x14ac:dyDescent="0.2">
      <c r="A1" s="1" t="s">
        <v>0</v>
      </c>
      <c r="B1" s="1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3" t="s">
        <v>12</v>
      </c>
      <c r="N1" s="4" t="s">
        <v>13</v>
      </c>
      <c r="O1" s="5" t="s">
        <v>14</v>
      </c>
      <c r="P1" s="2" t="s">
        <v>15</v>
      </c>
      <c r="Q1" s="6"/>
      <c r="R1" s="6"/>
      <c r="S1" s="6"/>
      <c r="T1" s="6"/>
      <c r="U1" s="6"/>
      <c r="V1" s="6"/>
      <c r="W1" s="6"/>
      <c r="X1" s="6"/>
      <c r="Y1" s="6"/>
      <c r="Z1" s="6"/>
      <c r="AA1" s="6"/>
    </row>
    <row r="2" spans="1:27" x14ac:dyDescent="0.2">
      <c r="A2" s="7" t="s">
        <v>16</v>
      </c>
      <c r="B2" s="7" t="s">
        <v>17</v>
      </c>
      <c r="C2" s="7" t="s">
        <v>18</v>
      </c>
      <c r="D2" s="8" t="s">
        <v>19</v>
      </c>
      <c r="E2" s="9">
        <v>211242.69</v>
      </c>
      <c r="F2" s="9">
        <v>1033146.83</v>
      </c>
      <c r="G2" s="9">
        <v>9.3366500000000006</v>
      </c>
      <c r="H2" s="9">
        <v>-83.628716999999995</v>
      </c>
      <c r="I2" s="7">
        <v>724</v>
      </c>
      <c r="J2" s="7" t="s">
        <v>20</v>
      </c>
      <c r="K2" s="10">
        <v>41468</v>
      </c>
      <c r="L2" s="10">
        <v>41579</v>
      </c>
      <c r="M2" s="11">
        <f t="shared" ref="M2:M24" si="0">IF(ISBLANK(K2),0,IF(ISBLANK(L2),0,L2-K2+1))</f>
        <v>112</v>
      </c>
      <c r="N2" s="11">
        <f t="shared" ref="N2:N1175" si="1">IF(ISBLANK(K2),0,IF(ISBLANK(L2),0,L2-K2+1))</f>
        <v>112</v>
      </c>
      <c r="O2" s="8" t="s">
        <v>21</v>
      </c>
      <c r="P2" s="8" t="s">
        <v>22</v>
      </c>
    </row>
    <row r="3" spans="1:27" x14ac:dyDescent="0.2">
      <c r="A3" s="7" t="s">
        <v>16</v>
      </c>
      <c r="B3" s="7" t="s">
        <v>17</v>
      </c>
      <c r="C3" s="7" t="s">
        <v>18</v>
      </c>
      <c r="D3" s="8" t="s">
        <v>23</v>
      </c>
      <c r="E3" s="9">
        <v>211479.02</v>
      </c>
      <c r="F3" s="9">
        <v>1032894.16</v>
      </c>
      <c r="G3" s="9">
        <v>9.3343830000000008</v>
      </c>
      <c r="H3" s="9">
        <v>-83.626549999999995</v>
      </c>
      <c r="I3" s="7">
        <v>725</v>
      </c>
      <c r="J3" s="7" t="s">
        <v>20</v>
      </c>
      <c r="K3" s="10">
        <v>41169</v>
      </c>
      <c r="L3" s="10">
        <v>41579</v>
      </c>
      <c r="M3" s="11">
        <f t="shared" si="0"/>
        <v>411</v>
      </c>
      <c r="N3" s="11">
        <f t="shared" si="1"/>
        <v>411</v>
      </c>
      <c r="O3" s="8"/>
      <c r="P3" s="8" t="s">
        <v>23</v>
      </c>
    </row>
    <row r="4" spans="1:27" x14ac:dyDescent="0.2">
      <c r="A4" s="7" t="s">
        <v>16</v>
      </c>
      <c r="B4" s="7" t="s">
        <v>17</v>
      </c>
      <c r="C4" s="7" t="s">
        <v>24</v>
      </c>
      <c r="D4" s="8" t="s">
        <v>25</v>
      </c>
      <c r="E4" s="9">
        <v>211524</v>
      </c>
      <c r="F4" s="9">
        <v>1032512</v>
      </c>
      <c r="G4" s="9">
        <v>9.3309329999999999</v>
      </c>
      <c r="H4" s="9">
        <v>-83.626116999999994</v>
      </c>
      <c r="I4" s="7">
        <v>687</v>
      </c>
      <c r="J4" s="7" t="s">
        <v>26</v>
      </c>
      <c r="K4" s="10">
        <v>41156</v>
      </c>
      <c r="L4" s="10">
        <v>41183</v>
      </c>
      <c r="M4" s="11">
        <f t="shared" si="0"/>
        <v>28</v>
      </c>
      <c r="N4" s="11">
        <f t="shared" si="1"/>
        <v>28</v>
      </c>
      <c r="O4" s="8" t="s">
        <v>27</v>
      </c>
      <c r="P4" s="8" t="s">
        <v>28</v>
      </c>
    </row>
    <row r="5" spans="1:27" x14ac:dyDescent="0.2">
      <c r="A5" s="7" t="s">
        <v>16</v>
      </c>
      <c r="B5" s="7" t="s">
        <v>17</v>
      </c>
      <c r="C5" s="7" t="s">
        <v>24</v>
      </c>
      <c r="D5" s="8" t="s">
        <v>29</v>
      </c>
      <c r="E5" s="9">
        <v>211815.82</v>
      </c>
      <c r="F5" s="9">
        <v>1032611.32</v>
      </c>
      <c r="G5" s="9">
        <v>9.3318499999999993</v>
      </c>
      <c r="H5" s="9">
        <v>-83.623467000000005</v>
      </c>
      <c r="I5" s="7">
        <v>724</v>
      </c>
      <c r="J5" s="7" t="s">
        <v>26</v>
      </c>
      <c r="K5" s="10">
        <v>41376</v>
      </c>
      <c r="L5" s="10">
        <v>41432</v>
      </c>
      <c r="M5" s="11">
        <f t="shared" si="0"/>
        <v>57</v>
      </c>
      <c r="N5" s="11">
        <f t="shared" si="1"/>
        <v>57</v>
      </c>
      <c r="O5" s="8"/>
      <c r="P5" s="8" t="s">
        <v>30</v>
      </c>
    </row>
    <row r="6" spans="1:27" x14ac:dyDescent="0.2">
      <c r="A6" s="7" t="s">
        <v>16</v>
      </c>
      <c r="B6" s="7" t="s">
        <v>17</v>
      </c>
      <c r="C6" s="7" t="s">
        <v>31</v>
      </c>
      <c r="D6" s="8" t="s">
        <v>32</v>
      </c>
      <c r="E6" s="9">
        <v>211996.22</v>
      </c>
      <c r="F6" s="9">
        <v>1031975.47</v>
      </c>
      <c r="G6" s="9">
        <v>9.326117</v>
      </c>
      <c r="H6" s="9">
        <v>-83.621782999999994</v>
      </c>
      <c r="I6" s="7">
        <v>724</v>
      </c>
      <c r="J6" s="7" t="s">
        <v>26</v>
      </c>
      <c r="K6" s="10">
        <v>41459</v>
      </c>
      <c r="L6" s="10">
        <v>41567</v>
      </c>
      <c r="M6" s="11">
        <f t="shared" si="0"/>
        <v>109</v>
      </c>
      <c r="N6" s="11">
        <f t="shared" si="1"/>
        <v>109</v>
      </c>
      <c r="O6" s="8"/>
      <c r="P6" s="8" t="s">
        <v>32</v>
      </c>
    </row>
    <row r="7" spans="1:27" x14ac:dyDescent="0.2">
      <c r="A7" s="7" t="s">
        <v>16</v>
      </c>
      <c r="B7" s="7" t="s">
        <v>17</v>
      </c>
      <c r="C7" s="7" t="s">
        <v>33</v>
      </c>
      <c r="D7" s="8" t="s">
        <v>34</v>
      </c>
      <c r="E7" s="9">
        <v>213201</v>
      </c>
      <c r="F7" s="9">
        <v>1032612</v>
      </c>
      <c r="G7" s="9">
        <v>9.3319500000000009</v>
      </c>
      <c r="H7" s="9">
        <v>-83.610866999999999</v>
      </c>
      <c r="I7" s="7">
        <v>788</v>
      </c>
      <c r="J7" s="7" t="s">
        <v>26</v>
      </c>
      <c r="K7" s="10">
        <v>41433</v>
      </c>
      <c r="L7" s="10">
        <v>41600</v>
      </c>
      <c r="M7" s="11">
        <f t="shared" si="0"/>
        <v>168</v>
      </c>
      <c r="N7" s="11">
        <f t="shared" si="1"/>
        <v>168</v>
      </c>
      <c r="O7" s="8"/>
      <c r="P7" s="8" t="s">
        <v>35</v>
      </c>
    </row>
    <row r="8" spans="1:27" x14ac:dyDescent="0.2">
      <c r="A8" s="7" t="s">
        <v>36</v>
      </c>
      <c r="B8" s="7" t="s">
        <v>17</v>
      </c>
      <c r="C8" s="7" t="s">
        <v>18</v>
      </c>
      <c r="D8" s="8" t="s">
        <v>19</v>
      </c>
      <c r="E8" s="9">
        <v>211243</v>
      </c>
      <c r="F8" s="9">
        <v>1033147</v>
      </c>
      <c r="G8" s="9">
        <v>9.3366500000000006</v>
      </c>
      <c r="H8" s="9">
        <v>-83.628716999999995</v>
      </c>
      <c r="I8" s="7">
        <v>756</v>
      </c>
      <c r="J8" s="7" t="s">
        <v>20</v>
      </c>
      <c r="K8" s="10">
        <v>41739</v>
      </c>
      <c r="L8" s="10">
        <v>42018</v>
      </c>
      <c r="M8" s="11">
        <f t="shared" si="0"/>
        <v>280</v>
      </c>
      <c r="N8" s="11">
        <f t="shared" si="1"/>
        <v>280</v>
      </c>
      <c r="O8" s="8"/>
      <c r="P8" s="8" t="s">
        <v>22</v>
      </c>
    </row>
    <row r="9" spans="1:27" x14ac:dyDescent="0.2">
      <c r="A9" s="7" t="s">
        <v>36</v>
      </c>
      <c r="B9" s="7" t="s">
        <v>17</v>
      </c>
      <c r="C9" s="7" t="s">
        <v>37</v>
      </c>
      <c r="D9" s="8" t="s">
        <v>23</v>
      </c>
      <c r="E9" s="9">
        <v>211479</v>
      </c>
      <c r="F9" s="9">
        <v>1032894</v>
      </c>
      <c r="G9" s="9">
        <v>9.3343830000000008</v>
      </c>
      <c r="H9" s="9">
        <v>-83.626549999999995</v>
      </c>
      <c r="I9" s="7">
        <v>727</v>
      </c>
      <c r="J9" s="7" t="s">
        <v>26</v>
      </c>
      <c r="K9" s="10">
        <v>41638</v>
      </c>
      <c r="L9" s="10">
        <v>41649</v>
      </c>
      <c r="M9" s="11">
        <f t="shared" si="0"/>
        <v>12</v>
      </c>
      <c r="N9" s="11">
        <f t="shared" si="1"/>
        <v>12</v>
      </c>
      <c r="O9" s="8"/>
      <c r="P9" s="8" t="s">
        <v>38</v>
      </c>
    </row>
    <row r="10" spans="1:27" x14ac:dyDescent="0.2">
      <c r="A10" s="7" t="s">
        <v>36</v>
      </c>
      <c r="B10" s="7" t="s">
        <v>17</v>
      </c>
      <c r="C10" s="7" t="s">
        <v>37</v>
      </c>
      <c r="D10" s="8" t="s">
        <v>29</v>
      </c>
      <c r="E10" s="9">
        <v>211816</v>
      </c>
      <c r="F10" s="9">
        <v>1032611</v>
      </c>
      <c r="G10" s="9">
        <v>9.3318499999999993</v>
      </c>
      <c r="H10" s="9">
        <v>-83.623467000000005</v>
      </c>
      <c r="I10" s="7">
        <v>736</v>
      </c>
      <c r="J10" s="7" t="s">
        <v>26</v>
      </c>
      <c r="K10" s="10">
        <v>41700</v>
      </c>
      <c r="L10" s="10">
        <v>42007</v>
      </c>
      <c r="M10" s="11">
        <f t="shared" si="0"/>
        <v>308</v>
      </c>
      <c r="N10" s="11">
        <f t="shared" si="1"/>
        <v>308</v>
      </c>
      <c r="O10" s="8"/>
      <c r="P10" s="8" t="s">
        <v>39</v>
      </c>
    </row>
    <row r="11" spans="1:27" x14ac:dyDescent="0.2">
      <c r="A11" s="7" t="s">
        <v>36</v>
      </c>
      <c r="B11" s="7" t="s">
        <v>17</v>
      </c>
      <c r="C11" s="7" t="s">
        <v>18</v>
      </c>
      <c r="D11" s="8" t="s">
        <v>32</v>
      </c>
      <c r="E11" s="9">
        <v>211996.22</v>
      </c>
      <c r="F11" s="9">
        <v>1031975.47</v>
      </c>
      <c r="G11" s="9">
        <v>9.326117</v>
      </c>
      <c r="H11" s="9">
        <v>-83.621782999999994</v>
      </c>
      <c r="I11" s="7">
        <v>724</v>
      </c>
      <c r="J11" s="7" t="s">
        <v>20</v>
      </c>
      <c r="K11" s="10">
        <v>41748</v>
      </c>
      <c r="L11" s="10">
        <v>42020</v>
      </c>
      <c r="M11" s="11">
        <f t="shared" si="0"/>
        <v>273</v>
      </c>
      <c r="N11" s="11">
        <f t="shared" si="1"/>
        <v>273</v>
      </c>
      <c r="O11" s="8"/>
      <c r="P11" s="8" t="s">
        <v>32</v>
      </c>
    </row>
    <row r="12" spans="1:27" x14ac:dyDescent="0.2">
      <c r="A12" s="7" t="s">
        <v>40</v>
      </c>
      <c r="B12" s="7" t="s">
        <v>17</v>
      </c>
      <c r="C12" s="7" t="s">
        <v>24</v>
      </c>
      <c r="D12" s="8" t="s">
        <v>25</v>
      </c>
      <c r="E12" s="9">
        <v>211524</v>
      </c>
      <c r="F12" s="9">
        <v>1032512</v>
      </c>
      <c r="G12" s="9">
        <v>9.3309329999999999</v>
      </c>
      <c r="H12" s="9">
        <v>-83.626116999999994</v>
      </c>
      <c r="I12" s="7">
        <v>687</v>
      </c>
      <c r="J12" s="7" t="s">
        <v>26</v>
      </c>
      <c r="K12" s="10">
        <v>41263</v>
      </c>
      <c r="L12" s="10">
        <v>41324</v>
      </c>
      <c r="M12" s="11">
        <f t="shared" si="0"/>
        <v>62</v>
      </c>
      <c r="N12" s="11">
        <f t="shared" si="1"/>
        <v>62</v>
      </c>
      <c r="O12" s="8"/>
      <c r="P12" s="8" t="s">
        <v>25</v>
      </c>
    </row>
    <row r="13" spans="1:27" x14ac:dyDescent="0.2">
      <c r="A13" s="7" t="s">
        <v>40</v>
      </c>
      <c r="B13" s="7" t="s">
        <v>17</v>
      </c>
      <c r="C13" s="7" t="s">
        <v>24</v>
      </c>
      <c r="D13" s="8" t="s">
        <v>29</v>
      </c>
      <c r="E13" s="9">
        <v>211816</v>
      </c>
      <c r="F13" s="9">
        <v>1032611</v>
      </c>
      <c r="G13" s="9">
        <v>9.3318499999999993</v>
      </c>
      <c r="H13" s="9">
        <v>-83.623467000000005</v>
      </c>
      <c r="I13" s="7">
        <v>724</v>
      </c>
      <c r="J13" s="7" t="s">
        <v>26</v>
      </c>
      <c r="K13" s="10">
        <v>41290</v>
      </c>
      <c r="L13" s="10">
        <v>41375</v>
      </c>
      <c r="M13" s="11">
        <f t="shared" si="0"/>
        <v>86</v>
      </c>
      <c r="N13" s="11">
        <f t="shared" si="1"/>
        <v>86</v>
      </c>
      <c r="O13" s="8"/>
      <c r="P13" s="8" t="s">
        <v>29</v>
      </c>
    </row>
    <row r="14" spans="1:27" x14ac:dyDescent="0.2">
      <c r="A14" s="7" t="s">
        <v>40</v>
      </c>
      <c r="B14" s="7" t="s">
        <v>17</v>
      </c>
      <c r="C14" s="7" t="s">
        <v>31</v>
      </c>
      <c r="D14" s="8" t="s">
        <v>32</v>
      </c>
      <c r="E14" s="9">
        <v>211996</v>
      </c>
      <c r="F14" s="9">
        <v>1031975</v>
      </c>
      <c r="G14" s="9">
        <v>9.326117</v>
      </c>
      <c r="H14" s="9">
        <v>-83.621782999999994</v>
      </c>
      <c r="I14" s="7">
        <v>724</v>
      </c>
      <c r="J14" s="7" t="s">
        <v>26</v>
      </c>
      <c r="K14" s="10">
        <v>41267</v>
      </c>
      <c r="L14" s="10">
        <v>41459</v>
      </c>
      <c r="M14" s="11">
        <f t="shared" si="0"/>
        <v>193</v>
      </c>
      <c r="N14" s="11">
        <f t="shared" si="1"/>
        <v>193</v>
      </c>
      <c r="O14" s="8"/>
      <c r="P14" s="8" t="s">
        <v>32</v>
      </c>
    </row>
    <row r="15" spans="1:27" x14ac:dyDescent="0.2">
      <c r="A15" s="7" t="s">
        <v>40</v>
      </c>
      <c r="B15" s="7" t="s">
        <v>17</v>
      </c>
      <c r="C15" s="7" t="s">
        <v>18</v>
      </c>
      <c r="D15" s="8" t="s">
        <v>19</v>
      </c>
      <c r="E15" s="9">
        <v>211996</v>
      </c>
      <c r="F15" s="9">
        <v>1031975</v>
      </c>
      <c r="G15" s="9">
        <v>9.3366500000000006</v>
      </c>
      <c r="H15" s="9">
        <v>-83.628716999999995</v>
      </c>
      <c r="I15" s="7">
        <v>724</v>
      </c>
      <c r="J15" s="7" t="s">
        <v>41</v>
      </c>
      <c r="K15" s="10">
        <v>41268</v>
      </c>
      <c r="L15" s="10">
        <v>41467</v>
      </c>
      <c r="M15" s="11">
        <f t="shared" si="0"/>
        <v>200</v>
      </c>
      <c r="N15" s="11">
        <f t="shared" si="1"/>
        <v>200</v>
      </c>
      <c r="O15" s="8"/>
      <c r="P15" s="8" t="s">
        <v>19</v>
      </c>
    </row>
    <row r="16" spans="1:27" x14ac:dyDescent="0.2">
      <c r="A16" s="7" t="s">
        <v>40</v>
      </c>
      <c r="B16" s="7" t="s">
        <v>17</v>
      </c>
      <c r="C16" s="7" t="s">
        <v>33</v>
      </c>
      <c r="D16" s="8" t="s">
        <v>34</v>
      </c>
      <c r="E16" s="9">
        <v>213201</v>
      </c>
      <c r="F16" s="9">
        <v>1032612</v>
      </c>
      <c r="G16" s="9">
        <v>9.3319500000000009</v>
      </c>
      <c r="H16" s="9">
        <v>-83.610866999999999</v>
      </c>
      <c r="I16" s="7">
        <v>788</v>
      </c>
      <c r="J16" s="7" t="s">
        <v>26</v>
      </c>
      <c r="K16" s="10">
        <v>41274</v>
      </c>
      <c r="L16" s="10">
        <v>41432</v>
      </c>
      <c r="M16" s="11">
        <f t="shared" si="0"/>
        <v>159</v>
      </c>
      <c r="N16" s="11">
        <f t="shared" si="1"/>
        <v>159</v>
      </c>
      <c r="O16" s="8"/>
      <c r="P16" s="8" t="s">
        <v>34</v>
      </c>
    </row>
    <row r="17" spans="1:16" x14ac:dyDescent="0.2">
      <c r="A17" s="7" t="s">
        <v>42</v>
      </c>
      <c r="B17" s="7" t="s">
        <v>17</v>
      </c>
      <c r="C17" s="7" t="s">
        <v>37</v>
      </c>
      <c r="D17" s="8" t="s">
        <v>43</v>
      </c>
      <c r="E17" s="9">
        <v>210118</v>
      </c>
      <c r="F17" s="9">
        <v>1032995</v>
      </c>
      <c r="G17" s="9">
        <v>9.3352000000000004</v>
      </c>
      <c r="H17" s="9">
        <v>-83.638932999999994</v>
      </c>
      <c r="I17" s="7">
        <v>800</v>
      </c>
      <c r="J17" s="7" t="s">
        <v>26</v>
      </c>
      <c r="K17" s="10">
        <v>41643</v>
      </c>
      <c r="L17" s="10">
        <v>41746</v>
      </c>
      <c r="M17" s="11">
        <f t="shared" si="0"/>
        <v>104</v>
      </c>
      <c r="N17" s="11">
        <f t="shared" si="1"/>
        <v>104</v>
      </c>
      <c r="O17" s="8"/>
      <c r="P17" s="8" t="s">
        <v>44</v>
      </c>
    </row>
    <row r="18" spans="1:16" x14ac:dyDescent="0.2">
      <c r="A18" s="7" t="s">
        <v>42</v>
      </c>
      <c r="B18" s="7" t="s">
        <v>17</v>
      </c>
      <c r="C18" s="7" t="s">
        <v>37</v>
      </c>
      <c r="D18" s="8" t="s">
        <v>19</v>
      </c>
      <c r="E18" s="9">
        <v>211243</v>
      </c>
      <c r="F18" s="9">
        <v>1033147</v>
      </c>
      <c r="G18" s="9">
        <v>9.3366500000000006</v>
      </c>
      <c r="H18" s="9">
        <v>-83.628716999999995</v>
      </c>
      <c r="I18" s="7">
        <v>756</v>
      </c>
      <c r="J18" s="7" t="s">
        <v>26</v>
      </c>
      <c r="K18" s="10">
        <v>41638</v>
      </c>
      <c r="L18" s="10">
        <v>41738</v>
      </c>
      <c r="M18" s="11">
        <f t="shared" si="0"/>
        <v>101</v>
      </c>
      <c r="N18" s="11">
        <f t="shared" si="1"/>
        <v>101</v>
      </c>
      <c r="O18" s="8"/>
      <c r="P18" s="8" t="s">
        <v>22</v>
      </c>
    </row>
    <row r="19" spans="1:16" x14ac:dyDescent="0.2">
      <c r="A19" s="7" t="s">
        <v>42</v>
      </c>
      <c r="B19" s="7" t="s">
        <v>17</v>
      </c>
      <c r="C19" s="7" t="s">
        <v>37</v>
      </c>
      <c r="D19" s="8" t="s">
        <v>23</v>
      </c>
      <c r="E19" s="9">
        <v>211479</v>
      </c>
      <c r="F19" s="9">
        <v>1032894</v>
      </c>
      <c r="G19" s="9">
        <v>9.3343830000000008</v>
      </c>
      <c r="H19" s="9">
        <v>-83.626549999999995</v>
      </c>
      <c r="I19" s="7">
        <v>727</v>
      </c>
      <c r="J19" s="7" t="s">
        <v>26</v>
      </c>
      <c r="K19" s="10">
        <v>41645</v>
      </c>
      <c r="L19" s="10">
        <v>41725</v>
      </c>
      <c r="M19" s="11">
        <f t="shared" si="0"/>
        <v>81</v>
      </c>
      <c r="N19" s="11">
        <f t="shared" si="1"/>
        <v>81</v>
      </c>
      <c r="O19" s="8"/>
      <c r="P19" s="8" t="s">
        <v>38</v>
      </c>
    </row>
    <row r="20" spans="1:16" x14ac:dyDescent="0.2">
      <c r="A20" s="7" t="s">
        <v>42</v>
      </c>
      <c r="B20" s="7" t="s">
        <v>17</v>
      </c>
      <c r="C20" s="7" t="s">
        <v>37</v>
      </c>
      <c r="D20" s="8" t="s">
        <v>29</v>
      </c>
      <c r="E20" s="9">
        <v>211816</v>
      </c>
      <c r="F20" s="9">
        <v>1032611</v>
      </c>
      <c r="G20" s="9">
        <v>9.3318499999999993</v>
      </c>
      <c r="H20" s="9">
        <v>-83.623467000000005</v>
      </c>
      <c r="I20" s="7">
        <v>736</v>
      </c>
      <c r="J20" s="7" t="s">
        <v>26</v>
      </c>
      <c r="K20" s="10">
        <v>41660</v>
      </c>
      <c r="L20" s="10">
        <v>41699</v>
      </c>
      <c r="M20" s="11">
        <f t="shared" si="0"/>
        <v>40</v>
      </c>
      <c r="N20" s="11">
        <f t="shared" si="1"/>
        <v>40</v>
      </c>
      <c r="O20" s="8"/>
      <c r="P20" s="8" t="s">
        <v>39</v>
      </c>
    </row>
    <row r="21" spans="1:16" ht="15.75" customHeight="1" x14ac:dyDescent="0.2">
      <c r="A21" s="7" t="s">
        <v>42</v>
      </c>
      <c r="B21" s="7" t="s">
        <v>17</v>
      </c>
      <c r="C21" s="7" t="s">
        <v>31</v>
      </c>
      <c r="D21" s="8" t="s">
        <v>32</v>
      </c>
      <c r="E21" s="9">
        <v>211996</v>
      </c>
      <c r="F21" s="9">
        <v>1031975</v>
      </c>
      <c r="G21" s="9">
        <v>9.326117</v>
      </c>
      <c r="H21" s="9">
        <v>-83.621782999999994</v>
      </c>
      <c r="I21" s="7">
        <v>724</v>
      </c>
      <c r="J21" s="7" t="s">
        <v>26</v>
      </c>
      <c r="K21" s="10">
        <v>41645</v>
      </c>
      <c r="L21" s="10">
        <v>41747</v>
      </c>
      <c r="M21" s="11">
        <f t="shared" si="0"/>
        <v>103</v>
      </c>
      <c r="N21" s="11">
        <f t="shared" si="1"/>
        <v>103</v>
      </c>
      <c r="O21" s="8" t="s">
        <v>45</v>
      </c>
      <c r="P21" s="8" t="s">
        <v>32</v>
      </c>
    </row>
    <row r="22" spans="1:16" ht="15.75" customHeight="1" x14ac:dyDescent="0.2">
      <c r="A22" s="7" t="s">
        <v>42</v>
      </c>
      <c r="B22" s="7" t="s">
        <v>17</v>
      </c>
      <c r="C22" s="7" t="s">
        <v>33</v>
      </c>
      <c r="D22" s="8" t="s">
        <v>34</v>
      </c>
      <c r="E22" s="9">
        <v>213201</v>
      </c>
      <c r="F22" s="9">
        <v>1032612</v>
      </c>
      <c r="G22" s="9">
        <v>9.3319500000000009</v>
      </c>
      <c r="H22" s="9">
        <v>-83.610866999999999</v>
      </c>
      <c r="I22" s="7">
        <v>788</v>
      </c>
      <c r="J22" s="7" t="s">
        <v>26</v>
      </c>
      <c r="K22" s="10">
        <v>41640</v>
      </c>
      <c r="L22" s="10">
        <v>41715</v>
      </c>
      <c r="M22" s="11">
        <f t="shared" si="0"/>
        <v>76</v>
      </c>
      <c r="N22" s="11">
        <f t="shared" si="1"/>
        <v>76</v>
      </c>
      <c r="O22" s="8"/>
      <c r="P22" s="8" t="s">
        <v>46</v>
      </c>
    </row>
    <row r="23" spans="1:16" ht="15.75" customHeight="1" x14ac:dyDescent="0.2">
      <c r="A23" s="7" t="s">
        <v>47</v>
      </c>
      <c r="B23" s="7" t="s">
        <v>17</v>
      </c>
      <c r="C23" s="7" t="s">
        <v>24</v>
      </c>
      <c r="D23" s="8" t="s">
        <v>29</v>
      </c>
      <c r="E23" s="9">
        <v>211816</v>
      </c>
      <c r="F23" s="9">
        <v>1032611</v>
      </c>
      <c r="G23" s="9">
        <v>9.3318499999999993</v>
      </c>
      <c r="H23" s="9">
        <v>-83.623467000000005</v>
      </c>
      <c r="I23" s="7">
        <v>736</v>
      </c>
      <c r="J23" s="7" t="s">
        <v>26</v>
      </c>
      <c r="K23" s="10">
        <v>42027</v>
      </c>
      <c r="L23" s="10">
        <v>42063</v>
      </c>
      <c r="M23" s="11">
        <f t="shared" si="0"/>
        <v>37</v>
      </c>
      <c r="N23" s="11">
        <f t="shared" si="1"/>
        <v>37</v>
      </c>
      <c r="O23" s="8"/>
      <c r="P23" s="8" t="s">
        <v>29</v>
      </c>
    </row>
    <row r="24" spans="1:16" ht="15.75" customHeight="1" x14ac:dyDescent="0.2">
      <c r="A24" s="7" t="s">
        <v>47</v>
      </c>
      <c r="B24" s="7" t="s">
        <v>17</v>
      </c>
      <c r="C24" s="7" t="s">
        <v>48</v>
      </c>
      <c r="D24" s="8" t="s">
        <v>32</v>
      </c>
      <c r="E24" s="9">
        <v>211996</v>
      </c>
      <c r="F24" s="9">
        <v>1031975</v>
      </c>
      <c r="G24" s="9">
        <v>9.326117</v>
      </c>
      <c r="H24" s="9">
        <v>-83.621782999999994</v>
      </c>
      <c r="I24" s="7">
        <v>724</v>
      </c>
      <c r="J24" s="7" t="s">
        <v>26</v>
      </c>
      <c r="K24" s="10">
        <v>42023</v>
      </c>
      <c r="L24" s="10">
        <v>42068</v>
      </c>
      <c r="M24" s="11">
        <f t="shared" si="0"/>
        <v>46</v>
      </c>
      <c r="N24" s="11">
        <f t="shared" si="1"/>
        <v>46</v>
      </c>
      <c r="O24" s="8"/>
      <c r="P24" s="8" t="s">
        <v>32</v>
      </c>
    </row>
    <row r="25" spans="1:16" ht="15.75" customHeight="1" x14ac:dyDescent="0.2">
      <c r="A25" s="7" t="s">
        <v>47</v>
      </c>
      <c r="B25" s="7" t="s">
        <v>17</v>
      </c>
      <c r="C25" s="7" t="s">
        <v>37</v>
      </c>
      <c r="D25" s="8" t="s">
        <v>49</v>
      </c>
      <c r="E25" s="9"/>
      <c r="F25" s="9"/>
      <c r="G25" s="9"/>
      <c r="H25" s="9"/>
      <c r="I25" s="7"/>
      <c r="J25" s="7" t="s">
        <v>26</v>
      </c>
      <c r="K25" s="10">
        <v>42001</v>
      </c>
      <c r="L25" s="10">
        <v>42093</v>
      </c>
      <c r="M25" s="11">
        <v>0</v>
      </c>
      <c r="N25" s="11">
        <f t="shared" si="1"/>
        <v>93</v>
      </c>
      <c r="O25" s="8" t="s">
        <v>50</v>
      </c>
      <c r="P25" s="8" t="s">
        <v>49</v>
      </c>
    </row>
    <row r="26" spans="1:16" ht="15.75" customHeight="1" x14ac:dyDescent="0.2">
      <c r="A26" s="7" t="s">
        <v>47</v>
      </c>
      <c r="B26" s="7" t="s">
        <v>17</v>
      </c>
      <c r="C26" s="7" t="s">
        <v>51</v>
      </c>
      <c r="D26" s="8" t="s">
        <v>51</v>
      </c>
      <c r="E26" s="9"/>
      <c r="F26" s="9"/>
      <c r="G26" s="9"/>
      <c r="H26" s="9"/>
      <c r="I26" s="7"/>
      <c r="J26" s="7" t="s">
        <v>26</v>
      </c>
      <c r="K26" s="10">
        <v>42028</v>
      </c>
      <c r="L26" s="10">
        <v>42070</v>
      </c>
      <c r="M26" s="11">
        <f>IF(ISBLANK(K26),0,IF(ISBLANK(L26),0,L26-K26+1))</f>
        <v>43</v>
      </c>
      <c r="N26" s="11">
        <f t="shared" si="1"/>
        <v>43</v>
      </c>
      <c r="O26" s="8"/>
      <c r="P26" s="8" t="s">
        <v>51</v>
      </c>
    </row>
    <row r="27" spans="1:16" ht="15.75" customHeight="1" x14ac:dyDescent="0.2">
      <c r="A27" s="7" t="s">
        <v>52</v>
      </c>
      <c r="B27" s="7" t="s">
        <v>17</v>
      </c>
      <c r="C27" s="7" t="s">
        <v>53</v>
      </c>
      <c r="D27" s="8" t="s">
        <v>54</v>
      </c>
      <c r="E27" s="9">
        <v>209038</v>
      </c>
      <c r="F27" s="9">
        <v>1033342</v>
      </c>
      <c r="G27" s="9">
        <v>9.3382699999999996</v>
      </c>
      <c r="H27" s="9">
        <v>-83.648780000000002</v>
      </c>
      <c r="I27" s="7">
        <v>693</v>
      </c>
      <c r="J27" s="7" t="s">
        <v>26</v>
      </c>
      <c r="K27" s="10">
        <v>41093</v>
      </c>
      <c r="L27" s="10">
        <v>41115</v>
      </c>
      <c r="M27" s="11">
        <v>0</v>
      </c>
      <c r="N27" s="11">
        <f t="shared" si="1"/>
        <v>23</v>
      </c>
      <c r="O27" s="8" t="s">
        <v>55</v>
      </c>
      <c r="P27" s="8" t="s">
        <v>54</v>
      </c>
    </row>
    <row r="28" spans="1:16" ht="15.75" customHeight="1" x14ac:dyDescent="0.2">
      <c r="A28" s="7" t="s">
        <v>52</v>
      </c>
      <c r="B28" s="7" t="s">
        <v>17</v>
      </c>
      <c r="C28" s="7" t="s">
        <v>53</v>
      </c>
      <c r="D28" s="8" t="s">
        <v>43</v>
      </c>
      <c r="E28" s="9">
        <v>210118</v>
      </c>
      <c r="F28" s="9">
        <v>1032995</v>
      </c>
      <c r="G28" s="9">
        <v>9.3352000000000004</v>
      </c>
      <c r="H28" s="9">
        <v>-83.638930000000002</v>
      </c>
      <c r="I28" s="7">
        <v>800</v>
      </c>
      <c r="J28" s="7" t="s">
        <v>26</v>
      </c>
      <c r="K28" s="10">
        <v>41093</v>
      </c>
      <c r="L28" s="10">
        <v>41130</v>
      </c>
      <c r="M28" s="11">
        <f t="shared" ref="M28:M48" si="2">IF(ISBLANK(K28),0,IF(ISBLANK(L28),0,L28-K28+1))</f>
        <v>38</v>
      </c>
      <c r="N28" s="11">
        <f t="shared" si="1"/>
        <v>38</v>
      </c>
      <c r="O28" s="8"/>
      <c r="P28" s="8" t="s">
        <v>43</v>
      </c>
    </row>
    <row r="29" spans="1:16" ht="15.75" customHeight="1" x14ac:dyDescent="0.2">
      <c r="A29" s="7" t="s">
        <v>52</v>
      </c>
      <c r="B29" s="7" t="s">
        <v>17</v>
      </c>
      <c r="C29" s="7" t="s">
        <v>18</v>
      </c>
      <c r="D29" s="8" t="s">
        <v>23</v>
      </c>
      <c r="E29" s="9">
        <v>211479</v>
      </c>
      <c r="F29" s="9">
        <v>1032894</v>
      </c>
      <c r="G29" s="9">
        <v>9.3343799999999995</v>
      </c>
      <c r="H29" s="9">
        <v>-83.626549999999995</v>
      </c>
      <c r="I29" s="7">
        <v>727</v>
      </c>
      <c r="J29" s="7" t="s">
        <v>26</v>
      </c>
      <c r="K29" s="10">
        <v>41094</v>
      </c>
      <c r="L29" s="10">
        <v>41130</v>
      </c>
      <c r="M29" s="11">
        <f t="shared" si="2"/>
        <v>37</v>
      </c>
      <c r="N29" s="11">
        <f t="shared" si="1"/>
        <v>37</v>
      </c>
      <c r="O29" s="8"/>
      <c r="P29" s="8" t="s">
        <v>23</v>
      </c>
    </row>
    <row r="30" spans="1:16" ht="15.75" customHeight="1" x14ac:dyDescent="0.2">
      <c r="A30" s="7" t="s">
        <v>52</v>
      </c>
      <c r="B30" s="7" t="s">
        <v>17</v>
      </c>
      <c r="C30" s="7" t="s">
        <v>24</v>
      </c>
      <c r="D30" s="8" t="s">
        <v>25</v>
      </c>
      <c r="E30" s="9">
        <v>211524</v>
      </c>
      <c r="F30" s="9">
        <v>1032512</v>
      </c>
      <c r="G30" s="9">
        <v>9.3309300000000004</v>
      </c>
      <c r="H30" s="9">
        <v>-83.62612</v>
      </c>
      <c r="I30" s="7">
        <v>687</v>
      </c>
      <c r="J30" s="7" t="s">
        <v>26</v>
      </c>
      <c r="K30" s="10">
        <v>41093</v>
      </c>
      <c r="L30" s="10">
        <v>41130</v>
      </c>
      <c r="M30" s="11">
        <f t="shared" si="2"/>
        <v>38</v>
      </c>
      <c r="N30" s="11">
        <f t="shared" si="1"/>
        <v>38</v>
      </c>
      <c r="O30" s="8"/>
      <c r="P30" s="8" t="s">
        <v>25</v>
      </c>
    </row>
    <row r="31" spans="1:16" ht="15.75" customHeight="1" x14ac:dyDescent="0.2">
      <c r="A31" s="7" t="s">
        <v>52</v>
      </c>
      <c r="B31" s="7" t="s">
        <v>17</v>
      </c>
      <c r="C31" s="7" t="s">
        <v>18</v>
      </c>
      <c r="D31" s="8" t="s">
        <v>19</v>
      </c>
      <c r="E31" s="9">
        <v>211996</v>
      </c>
      <c r="F31" s="9">
        <v>1031975</v>
      </c>
      <c r="G31" s="9">
        <v>9.3366500000000006</v>
      </c>
      <c r="H31" s="9">
        <v>-83.628720000000001</v>
      </c>
      <c r="I31" s="7">
        <v>724</v>
      </c>
      <c r="J31" s="7" t="s">
        <v>41</v>
      </c>
      <c r="K31" s="10">
        <v>41093</v>
      </c>
      <c r="L31" s="10">
        <v>41130</v>
      </c>
      <c r="M31" s="11">
        <f t="shared" si="2"/>
        <v>38</v>
      </c>
      <c r="N31" s="11">
        <f t="shared" si="1"/>
        <v>38</v>
      </c>
      <c r="O31" s="8"/>
      <c r="P31" s="8" t="s">
        <v>19</v>
      </c>
    </row>
    <row r="32" spans="1:16" ht="15.75" customHeight="1" x14ac:dyDescent="0.2">
      <c r="A32" s="7" t="s">
        <v>52</v>
      </c>
      <c r="B32" s="7" t="s">
        <v>17</v>
      </c>
      <c r="C32" s="7" t="s">
        <v>24</v>
      </c>
      <c r="D32" s="8" t="s">
        <v>29</v>
      </c>
      <c r="E32" s="9">
        <v>211996</v>
      </c>
      <c r="F32" s="9">
        <v>1031975</v>
      </c>
      <c r="G32" s="9">
        <v>9.3318499999999993</v>
      </c>
      <c r="H32" s="9">
        <v>-83.623469999999998</v>
      </c>
      <c r="I32" s="7">
        <v>724</v>
      </c>
      <c r="J32" s="7" t="s">
        <v>26</v>
      </c>
      <c r="K32" s="10">
        <v>41093</v>
      </c>
      <c r="L32" s="10">
        <v>41130</v>
      </c>
      <c r="M32" s="11">
        <f t="shared" si="2"/>
        <v>38</v>
      </c>
      <c r="N32" s="11">
        <f t="shared" si="1"/>
        <v>38</v>
      </c>
      <c r="O32" s="8"/>
      <c r="P32" s="8" t="s">
        <v>29</v>
      </c>
    </row>
    <row r="33" spans="1:16" ht="15.75" customHeight="1" x14ac:dyDescent="0.2">
      <c r="A33" s="7" t="s">
        <v>52</v>
      </c>
      <c r="B33" s="7" t="s">
        <v>17</v>
      </c>
      <c r="C33" s="7" t="s">
        <v>31</v>
      </c>
      <c r="D33" s="8" t="s">
        <v>32</v>
      </c>
      <c r="E33" s="9">
        <v>211996</v>
      </c>
      <c r="F33" s="9">
        <v>1031975</v>
      </c>
      <c r="G33" s="9">
        <v>9.3261199999999995</v>
      </c>
      <c r="H33" s="9">
        <v>-83.621780000000001</v>
      </c>
      <c r="I33" s="7">
        <v>724</v>
      </c>
      <c r="J33" s="7" t="s">
        <v>26</v>
      </c>
      <c r="K33" s="10">
        <v>41094</v>
      </c>
      <c r="L33" s="10">
        <v>41130</v>
      </c>
      <c r="M33" s="11">
        <f t="shared" si="2"/>
        <v>37</v>
      </c>
      <c r="N33" s="11">
        <f t="shared" si="1"/>
        <v>37</v>
      </c>
      <c r="O33" s="8"/>
      <c r="P33" s="8" t="s">
        <v>32</v>
      </c>
    </row>
    <row r="34" spans="1:16" ht="15.75" customHeight="1" x14ac:dyDescent="0.2">
      <c r="A34" s="7" t="s">
        <v>52</v>
      </c>
      <c r="B34" s="7" t="s">
        <v>17</v>
      </c>
      <c r="C34" s="7" t="s">
        <v>33</v>
      </c>
      <c r="D34" s="8" t="s">
        <v>34</v>
      </c>
      <c r="E34" s="9">
        <v>213201</v>
      </c>
      <c r="F34" s="9">
        <v>1032612</v>
      </c>
      <c r="G34" s="9">
        <v>9.3319500000000009</v>
      </c>
      <c r="H34" s="9">
        <v>-83.610870000000006</v>
      </c>
      <c r="I34" s="7">
        <v>788</v>
      </c>
      <c r="J34" s="7" t="s">
        <v>26</v>
      </c>
      <c r="K34" s="10">
        <v>41094</v>
      </c>
      <c r="L34" s="10">
        <v>41130</v>
      </c>
      <c r="M34" s="11">
        <f t="shared" si="2"/>
        <v>37</v>
      </c>
      <c r="N34" s="11">
        <f t="shared" si="1"/>
        <v>37</v>
      </c>
      <c r="O34" s="8"/>
      <c r="P34" s="8" t="s">
        <v>34</v>
      </c>
    </row>
    <row r="35" spans="1:16" ht="15.75" customHeight="1" x14ac:dyDescent="0.2">
      <c r="A35" s="7" t="s">
        <v>52</v>
      </c>
      <c r="B35" s="7" t="s">
        <v>17</v>
      </c>
      <c r="C35" s="7" t="s">
        <v>56</v>
      </c>
      <c r="D35" s="8" t="s">
        <v>57</v>
      </c>
      <c r="E35" s="9">
        <v>213513</v>
      </c>
      <c r="F35" s="9">
        <v>1034122</v>
      </c>
      <c r="G35" s="9">
        <v>9.3456200000000003</v>
      </c>
      <c r="H35" s="9">
        <v>-83.608130000000003</v>
      </c>
      <c r="I35" s="7">
        <v>888</v>
      </c>
      <c r="J35" s="7" t="s">
        <v>26</v>
      </c>
      <c r="K35" s="10">
        <v>41094</v>
      </c>
      <c r="L35" s="10">
        <v>41130</v>
      </c>
      <c r="M35" s="11">
        <f t="shared" si="2"/>
        <v>37</v>
      </c>
      <c r="N35" s="11">
        <f t="shared" si="1"/>
        <v>37</v>
      </c>
      <c r="O35" s="8"/>
      <c r="P35" s="8" t="s">
        <v>57</v>
      </c>
    </row>
    <row r="36" spans="1:16" ht="15.75" customHeight="1" x14ac:dyDescent="0.2">
      <c r="A36" s="7" t="s">
        <v>58</v>
      </c>
      <c r="B36" s="7" t="s">
        <v>17</v>
      </c>
      <c r="C36" s="7" t="s">
        <v>48</v>
      </c>
      <c r="D36" s="7" t="s">
        <v>32</v>
      </c>
      <c r="E36" s="9">
        <v>211996</v>
      </c>
      <c r="F36" s="9">
        <v>1031975</v>
      </c>
      <c r="G36" s="9">
        <v>9.3261199999999995</v>
      </c>
      <c r="H36" s="9">
        <v>-83.621780000000001</v>
      </c>
      <c r="I36" s="7">
        <v>724</v>
      </c>
      <c r="J36" s="7" t="s">
        <v>26</v>
      </c>
      <c r="K36" s="10">
        <v>42226</v>
      </c>
      <c r="L36" s="10">
        <v>42280</v>
      </c>
      <c r="M36" s="11">
        <f t="shared" si="2"/>
        <v>55</v>
      </c>
      <c r="N36" s="11">
        <f t="shared" si="1"/>
        <v>55</v>
      </c>
      <c r="O36" s="7" t="s">
        <v>59</v>
      </c>
      <c r="P36" s="7" t="s">
        <v>60</v>
      </c>
    </row>
    <row r="37" spans="1:16" ht="15.75" customHeight="1" x14ac:dyDescent="0.2">
      <c r="A37" s="7" t="s">
        <v>61</v>
      </c>
      <c r="B37" s="7" t="s">
        <v>17</v>
      </c>
      <c r="C37" s="7" t="s">
        <v>18</v>
      </c>
      <c r="D37" s="7" t="s">
        <v>19</v>
      </c>
      <c r="E37" s="7">
        <v>211242.69</v>
      </c>
      <c r="F37" s="7">
        <v>1033146.83</v>
      </c>
      <c r="G37" s="7">
        <v>9.3366500420000005</v>
      </c>
      <c r="H37" s="7">
        <v>-83.628716960000006</v>
      </c>
      <c r="I37" s="7">
        <v>724</v>
      </c>
      <c r="J37" s="7" t="s">
        <v>41</v>
      </c>
      <c r="K37" s="10">
        <v>41146</v>
      </c>
      <c r="L37" s="10">
        <v>41252</v>
      </c>
      <c r="M37" s="11">
        <f t="shared" si="2"/>
        <v>107</v>
      </c>
      <c r="N37" s="11">
        <f t="shared" si="1"/>
        <v>107</v>
      </c>
      <c r="O37" s="7" t="s">
        <v>62</v>
      </c>
      <c r="P37" s="7" t="s">
        <v>63</v>
      </c>
    </row>
    <row r="38" spans="1:16" ht="15.75" customHeight="1" x14ac:dyDescent="0.2">
      <c r="A38" s="7" t="s">
        <v>58</v>
      </c>
      <c r="B38" s="7" t="s">
        <v>17</v>
      </c>
      <c r="C38" s="7" t="s">
        <v>24</v>
      </c>
      <c r="D38" s="8" t="s">
        <v>29</v>
      </c>
      <c r="E38" s="9">
        <v>211816</v>
      </c>
      <c r="F38" s="9">
        <v>1032611</v>
      </c>
      <c r="G38" s="7">
        <v>9.3318499999999993</v>
      </c>
      <c r="H38" s="7">
        <v>-83.623467000000005</v>
      </c>
      <c r="I38" s="7">
        <v>736</v>
      </c>
      <c r="J38" s="7" t="s">
        <v>26</v>
      </c>
      <c r="K38" s="10">
        <v>42230</v>
      </c>
      <c r="L38" s="10">
        <v>42251</v>
      </c>
      <c r="M38" s="11">
        <f t="shared" si="2"/>
        <v>22</v>
      </c>
      <c r="N38" s="11">
        <f t="shared" si="1"/>
        <v>22</v>
      </c>
      <c r="O38" s="7" t="s">
        <v>62</v>
      </c>
      <c r="P38" s="7" t="s">
        <v>30</v>
      </c>
    </row>
    <row r="39" spans="1:16" ht="15.75" customHeight="1" x14ac:dyDescent="0.2">
      <c r="A39" s="7" t="s">
        <v>16</v>
      </c>
      <c r="B39" s="7" t="s">
        <v>17</v>
      </c>
      <c r="C39" s="7" t="s">
        <v>51</v>
      </c>
      <c r="D39" s="7" t="s">
        <v>51</v>
      </c>
      <c r="E39" s="7">
        <v>0</v>
      </c>
      <c r="F39" s="7">
        <v>0</v>
      </c>
      <c r="G39" s="7">
        <v>9.3607499999999995</v>
      </c>
      <c r="H39" s="7">
        <v>-83.597016999999994</v>
      </c>
      <c r="I39" s="7">
        <v>994</v>
      </c>
      <c r="J39" s="7" t="s">
        <v>26</v>
      </c>
      <c r="K39" s="10">
        <v>41492</v>
      </c>
      <c r="L39" s="10">
        <v>41625</v>
      </c>
      <c r="M39" s="11">
        <f t="shared" si="2"/>
        <v>134</v>
      </c>
      <c r="N39" s="11">
        <f t="shared" si="1"/>
        <v>134</v>
      </c>
      <c r="O39" s="8" t="s">
        <v>62</v>
      </c>
      <c r="P39" s="7" t="s">
        <v>51</v>
      </c>
    </row>
    <row r="40" spans="1:16" ht="15.75" customHeight="1" x14ac:dyDescent="0.2">
      <c r="A40" s="7" t="s">
        <v>42</v>
      </c>
      <c r="B40" s="7" t="s">
        <v>17</v>
      </c>
      <c r="C40" s="7" t="s">
        <v>51</v>
      </c>
      <c r="D40" s="7" t="s">
        <v>51</v>
      </c>
      <c r="E40" s="7">
        <v>0</v>
      </c>
      <c r="F40" s="7">
        <v>0</v>
      </c>
      <c r="G40" s="7">
        <v>9.3607499999999995</v>
      </c>
      <c r="H40" s="7">
        <v>-83.597016999999994</v>
      </c>
      <c r="I40" s="7">
        <v>994</v>
      </c>
      <c r="J40" s="7" t="s">
        <v>26</v>
      </c>
      <c r="K40" s="10">
        <v>41709</v>
      </c>
      <c r="L40" s="10">
        <v>41753</v>
      </c>
      <c r="M40" s="11">
        <f t="shared" si="2"/>
        <v>45</v>
      </c>
      <c r="N40" s="11">
        <f t="shared" si="1"/>
        <v>45</v>
      </c>
      <c r="O40" s="8" t="s">
        <v>62</v>
      </c>
      <c r="P40" s="7" t="s">
        <v>51</v>
      </c>
    </row>
    <row r="41" spans="1:16" ht="15.75" hidden="1" customHeight="1" x14ac:dyDescent="0.2">
      <c r="A41" s="7" t="s">
        <v>64</v>
      </c>
      <c r="B41" s="7" t="s">
        <v>65</v>
      </c>
      <c r="C41" s="7" t="s">
        <v>66</v>
      </c>
      <c r="D41" s="12" t="s">
        <v>67</v>
      </c>
      <c r="E41" s="9">
        <v>234018</v>
      </c>
      <c r="F41" s="9">
        <v>1025058</v>
      </c>
      <c r="G41" s="9">
        <v>9.2650250159999992</v>
      </c>
      <c r="H41" s="9">
        <v>-83.421007990000007</v>
      </c>
      <c r="I41" s="7">
        <v>958</v>
      </c>
      <c r="J41" s="7" t="s">
        <v>26</v>
      </c>
      <c r="K41" s="7"/>
      <c r="L41" s="7"/>
      <c r="M41" s="11">
        <f t="shared" si="2"/>
        <v>0</v>
      </c>
      <c r="N41" s="11">
        <f t="shared" si="1"/>
        <v>0</v>
      </c>
      <c r="O41" s="8" t="s">
        <v>68</v>
      </c>
      <c r="P41" s="12" t="s">
        <v>69</v>
      </c>
    </row>
    <row r="42" spans="1:16" ht="15.75" hidden="1" customHeight="1" x14ac:dyDescent="0.2">
      <c r="A42" s="7" t="s">
        <v>64</v>
      </c>
      <c r="B42" s="7" t="s">
        <v>65</v>
      </c>
      <c r="C42" s="7" t="s">
        <v>66</v>
      </c>
      <c r="D42" s="12" t="s">
        <v>70</v>
      </c>
      <c r="E42" s="9">
        <v>227276</v>
      </c>
      <c r="F42" s="9">
        <v>1034146</v>
      </c>
      <c r="G42" s="9">
        <v>9.3467289579999999</v>
      </c>
      <c r="H42" s="9">
        <v>-83.482919999999993</v>
      </c>
      <c r="I42" s="7">
        <v>1506</v>
      </c>
      <c r="J42" s="7" t="s">
        <v>26</v>
      </c>
      <c r="K42" s="10">
        <v>42672</v>
      </c>
      <c r="L42" s="10">
        <v>42700</v>
      </c>
      <c r="M42" s="11">
        <f t="shared" si="2"/>
        <v>29</v>
      </c>
      <c r="N42" s="11">
        <f t="shared" si="1"/>
        <v>29</v>
      </c>
      <c r="O42" s="8" t="s">
        <v>68</v>
      </c>
      <c r="P42" s="12" t="s">
        <v>71</v>
      </c>
    </row>
    <row r="43" spans="1:16" ht="15.75" hidden="1" customHeight="1" x14ac:dyDescent="0.2">
      <c r="A43" s="7" t="s">
        <v>64</v>
      </c>
      <c r="B43" s="7" t="s">
        <v>65</v>
      </c>
      <c r="C43" s="7" t="s">
        <v>66</v>
      </c>
      <c r="D43" s="12" t="s">
        <v>72</v>
      </c>
      <c r="E43" s="9">
        <v>227733</v>
      </c>
      <c r="F43" s="9">
        <v>1034477</v>
      </c>
      <c r="G43" s="9">
        <v>9.3497470299999996</v>
      </c>
      <c r="H43" s="9">
        <v>-83.478779000000003</v>
      </c>
      <c r="I43" s="7">
        <v>1672</v>
      </c>
      <c r="J43" s="7" t="s">
        <v>26</v>
      </c>
      <c r="K43" s="7"/>
      <c r="L43" s="7"/>
      <c r="M43" s="11">
        <f t="shared" si="2"/>
        <v>0</v>
      </c>
      <c r="N43" s="11">
        <f t="shared" si="1"/>
        <v>0</v>
      </c>
      <c r="O43" s="8" t="s">
        <v>68</v>
      </c>
      <c r="P43" s="12" t="s">
        <v>73</v>
      </c>
    </row>
    <row r="44" spans="1:16" ht="15.75" hidden="1" customHeight="1" x14ac:dyDescent="0.2">
      <c r="A44" s="7" t="s">
        <v>64</v>
      </c>
      <c r="B44" s="7" t="s">
        <v>65</v>
      </c>
      <c r="C44" s="7" t="s">
        <v>66</v>
      </c>
      <c r="D44" s="12" t="s">
        <v>74</v>
      </c>
      <c r="E44" s="9">
        <v>228225</v>
      </c>
      <c r="F44" s="9">
        <v>1026627</v>
      </c>
      <c r="G44" s="9">
        <v>9.2788389789999997</v>
      </c>
      <c r="H44" s="9">
        <v>-83.473805010000007</v>
      </c>
      <c r="I44" s="7">
        <v>851</v>
      </c>
      <c r="J44" s="7" t="s">
        <v>26</v>
      </c>
      <c r="K44" s="10">
        <v>42625</v>
      </c>
      <c r="L44" s="10">
        <v>42665</v>
      </c>
      <c r="M44" s="11">
        <f t="shared" si="2"/>
        <v>41</v>
      </c>
      <c r="N44" s="11">
        <f t="shared" si="1"/>
        <v>41</v>
      </c>
      <c r="O44" s="8" t="s">
        <v>68</v>
      </c>
      <c r="P44" s="12" t="s">
        <v>75</v>
      </c>
    </row>
    <row r="45" spans="1:16" ht="15.75" hidden="1" customHeight="1" x14ac:dyDescent="0.2">
      <c r="A45" s="7" t="s">
        <v>64</v>
      </c>
      <c r="B45" s="7" t="s">
        <v>65</v>
      </c>
      <c r="C45" s="7" t="s">
        <v>66</v>
      </c>
      <c r="D45" s="12" t="s">
        <v>67</v>
      </c>
      <c r="E45" s="9">
        <v>234018</v>
      </c>
      <c r="F45" s="9">
        <v>1025058</v>
      </c>
      <c r="G45" s="9">
        <v>9.2650250159999992</v>
      </c>
      <c r="H45" s="9">
        <v>-83.421007990000007</v>
      </c>
      <c r="I45" s="7">
        <v>958</v>
      </c>
      <c r="J45" s="7" t="s">
        <v>26</v>
      </c>
      <c r="K45" s="7"/>
      <c r="L45" s="7"/>
      <c r="M45" s="11">
        <f t="shared" si="2"/>
        <v>0</v>
      </c>
      <c r="N45" s="11">
        <f t="shared" si="1"/>
        <v>0</v>
      </c>
      <c r="O45" s="8" t="s">
        <v>76</v>
      </c>
      <c r="P45" s="12" t="s">
        <v>69</v>
      </c>
    </row>
    <row r="46" spans="1:16" ht="15.75" hidden="1" customHeight="1" x14ac:dyDescent="0.2">
      <c r="A46" s="7" t="s">
        <v>64</v>
      </c>
      <c r="B46" s="7" t="s">
        <v>65</v>
      </c>
      <c r="C46" s="7" t="s">
        <v>66</v>
      </c>
      <c r="D46" s="12" t="s">
        <v>70</v>
      </c>
      <c r="E46" s="9">
        <v>227276</v>
      </c>
      <c r="F46" s="9">
        <v>1034146</v>
      </c>
      <c r="G46" s="9">
        <v>9.3467289579999999</v>
      </c>
      <c r="H46" s="9">
        <v>-83.482919999999993</v>
      </c>
      <c r="I46" s="7">
        <v>1506</v>
      </c>
      <c r="J46" s="7" t="s">
        <v>26</v>
      </c>
      <c r="K46" s="7"/>
      <c r="L46" s="7"/>
      <c r="M46" s="11">
        <f t="shared" si="2"/>
        <v>0</v>
      </c>
      <c r="N46" s="11">
        <f t="shared" si="1"/>
        <v>0</v>
      </c>
      <c r="O46" s="8" t="s">
        <v>76</v>
      </c>
      <c r="P46" s="12" t="s">
        <v>71</v>
      </c>
    </row>
    <row r="47" spans="1:16" ht="15.75" hidden="1" customHeight="1" x14ac:dyDescent="0.2">
      <c r="A47" s="7" t="s">
        <v>64</v>
      </c>
      <c r="B47" s="7" t="s">
        <v>65</v>
      </c>
      <c r="C47" s="7" t="s">
        <v>66</v>
      </c>
      <c r="D47" s="12" t="s">
        <v>72</v>
      </c>
      <c r="E47" s="9">
        <v>227733</v>
      </c>
      <c r="F47" s="9">
        <v>1034477</v>
      </c>
      <c r="G47" s="9">
        <v>9.3497470299999996</v>
      </c>
      <c r="H47" s="9">
        <v>-83.478779000000003</v>
      </c>
      <c r="I47" s="7">
        <v>1672</v>
      </c>
      <c r="J47" s="7" t="s">
        <v>26</v>
      </c>
      <c r="K47" s="7"/>
      <c r="L47" s="7"/>
      <c r="M47" s="11">
        <f t="shared" si="2"/>
        <v>0</v>
      </c>
      <c r="N47" s="11">
        <f t="shared" si="1"/>
        <v>0</v>
      </c>
      <c r="O47" s="8" t="s">
        <v>76</v>
      </c>
      <c r="P47" s="12" t="s">
        <v>73</v>
      </c>
    </row>
    <row r="48" spans="1:16" ht="15.75" hidden="1" customHeight="1" x14ac:dyDescent="0.2">
      <c r="A48" s="7" t="s">
        <v>64</v>
      </c>
      <c r="B48" s="7" t="s">
        <v>65</v>
      </c>
      <c r="C48" s="7" t="s">
        <v>66</v>
      </c>
      <c r="D48" s="12" t="s">
        <v>74</v>
      </c>
      <c r="E48" s="9">
        <v>228225</v>
      </c>
      <c r="F48" s="9">
        <v>1026627</v>
      </c>
      <c r="G48" s="9">
        <v>9.2788389789999997</v>
      </c>
      <c r="H48" s="9">
        <v>-83.473805010000007</v>
      </c>
      <c r="I48" s="7">
        <v>851</v>
      </c>
      <c r="J48" s="7" t="s">
        <v>26</v>
      </c>
      <c r="K48" s="10">
        <v>42755</v>
      </c>
      <c r="L48" s="10">
        <v>42785</v>
      </c>
      <c r="M48" s="11">
        <f t="shared" si="2"/>
        <v>31</v>
      </c>
      <c r="N48" s="11">
        <f t="shared" si="1"/>
        <v>31</v>
      </c>
      <c r="O48" s="8" t="s">
        <v>76</v>
      </c>
      <c r="P48" s="12" t="s">
        <v>75</v>
      </c>
    </row>
    <row r="49" spans="1:16" ht="15.75" hidden="1" customHeight="1" x14ac:dyDescent="0.2">
      <c r="A49" s="7" t="s">
        <v>64</v>
      </c>
      <c r="B49" s="7" t="s">
        <v>65</v>
      </c>
      <c r="C49" s="7" t="s">
        <v>66</v>
      </c>
      <c r="D49" s="12" t="s">
        <v>70</v>
      </c>
      <c r="E49" s="9">
        <v>227276</v>
      </c>
      <c r="F49" s="9">
        <v>1034146</v>
      </c>
      <c r="G49" s="9">
        <v>9.3467289999999998</v>
      </c>
      <c r="H49" s="9">
        <v>-83.482919999999993</v>
      </c>
      <c r="I49" s="7">
        <v>1506</v>
      </c>
      <c r="J49" s="7" t="s">
        <v>26</v>
      </c>
      <c r="K49" s="10">
        <v>42560</v>
      </c>
      <c r="L49" s="10">
        <v>42671</v>
      </c>
      <c r="M49" s="11">
        <v>177</v>
      </c>
      <c r="N49" s="11">
        <f t="shared" si="1"/>
        <v>112</v>
      </c>
      <c r="O49" s="8" t="s">
        <v>77</v>
      </c>
      <c r="P49" s="12" t="s">
        <v>71</v>
      </c>
    </row>
    <row r="50" spans="1:16" ht="15.75" hidden="1" customHeight="1" x14ac:dyDescent="0.2">
      <c r="A50" s="7" t="s">
        <v>64</v>
      </c>
      <c r="B50" s="7" t="s">
        <v>65</v>
      </c>
      <c r="C50" s="7" t="s">
        <v>66</v>
      </c>
      <c r="D50" s="12" t="s">
        <v>72</v>
      </c>
      <c r="E50" s="9">
        <v>227733</v>
      </c>
      <c r="F50" s="9">
        <v>1034477</v>
      </c>
      <c r="G50" s="9">
        <v>9.3497470000000007</v>
      </c>
      <c r="H50" s="9">
        <v>-83.478779000000003</v>
      </c>
      <c r="I50" s="7">
        <v>1672</v>
      </c>
      <c r="J50" s="7" t="s">
        <v>26</v>
      </c>
      <c r="K50" s="10">
        <v>42560</v>
      </c>
      <c r="L50" s="10">
        <v>42647</v>
      </c>
      <c r="M50" s="11">
        <v>174</v>
      </c>
      <c r="N50" s="11">
        <f t="shared" si="1"/>
        <v>88</v>
      </c>
      <c r="O50" s="8" t="s">
        <v>78</v>
      </c>
      <c r="P50" s="12" t="s">
        <v>73</v>
      </c>
    </row>
    <row r="51" spans="1:16" ht="15.75" hidden="1" customHeight="1" x14ac:dyDescent="0.2">
      <c r="A51" s="7" t="s">
        <v>64</v>
      </c>
      <c r="B51" s="7" t="s">
        <v>65</v>
      </c>
      <c r="C51" s="7" t="s">
        <v>66</v>
      </c>
      <c r="D51" s="12" t="s">
        <v>67</v>
      </c>
      <c r="E51" s="9">
        <v>234018</v>
      </c>
      <c r="F51" s="9">
        <v>1025058</v>
      </c>
      <c r="G51" s="9">
        <v>9.2650249999999996</v>
      </c>
      <c r="H51" s="9">
        <v>-83.421008</v>
      </c>
      <c r="I51" s="7">
        <v>958</v>
      </c>
      <c r="J51" s="7" t="s">
        <v>26</v>
      </c>
      <c r="K51" s="10">
        <v>42597</v>
      </c>
      <c r="L51" s="10">
        <v>42658</v>
      </c>
      <c r="M51" s="11">
        <v>0</v>
      </c>
      <c r="N51" s="11">
        <f t="shared" si="1"/>
        <v>62</v>
      </c>
      <c r="O51" s="8" t="s">
        <v>79</v>
      </c>
      <c r="P51" s="12" t="s">
        <v>69</v>
      </c>
    </row>
    <row r="52" spans="1:16" ht="15.75" hidden="1" customHeight="1" x14ac:dyDescent="0.2">
      <c r="A52" s="7" t="s">
        <v>64</v>
      </c>
      <c r="B52" s="7" t="s">
        <v>65</v>
      </c>
      <c r="C52" s="7" t="s">
        <v>66</v>
      </c>
      <c r="D52" s="12" t="s">
        <v>74</v>
      </c>
      <c r="E52" s="9">
        <v>228225</v>
      </c>
      <c r="F52" s="9">
        <v>1026627</v>
      </c>
      <c r="G52" s="9">
        <v>9.2788389999999996</v>
      </c>
      <c r="H52" s="9">
        <v>-83.473804999999999</v>
      </c>
      <c r="I52" s="7">
        <v>851</v>
      </c>
      <c r="J52" s="7" t="s">
        <v>26</v>
      </c>
      <c r="K52" s="10">
        <v>42542</v>
      </c>
      <c r="L52" s="10">
        <v>42624</v>
      </c>
      <c r="M52" s="11">
        <f t="shared" ref="M52:M95" si="3">IF(ISBLANK(K52),0,IF(ISBLANK(L52),0,L52-K52+1))</f>
        <v>83</v>
      </c>
      <c r="N52" s="11">
        <f t="shared" si="1"/>
        <v>83</v>
      </c>
      <c r="O52" s="8" t="s">
        <v>78</v>
      </c>
      <c r="P52" s="12" t="s">
        <v>75</v>
      </c>
    </row>
    <row r="53" spans="1:16" ht="15.75" hidden="1" customHeight="1" x14ac:dyDescent="0.2">
      <c r="A53" s="7" t="s">
        <v>64</v>
      </c>
      <c r="B53" s="7" t="s">
        <v>65</v>
      </c>
      <c r="C53" s="7" t="s">
        <v>66</v>
      </c>
      <c r="D53" s="13" t="s">
        <v>80</v>
      </c>
      <c r="E53" s="7">
        <v>227733</v>
      </c>
      <c r="F53" s="7">
        <v>1034477</v>
      </c>
      <c r="G53" s="7">
        <v>9.3497482210000005</v>
      </c>
      <c r="H53" s="7">
        <v>-83.478781280000007</v>
      </c>
      <c r="I53" s="7">
        <v>1672</v>
      </c>
      <c r="J53" s="7" t="s">
        <v>26</v>
      </c>
      <c r="K53" s="10">
        <v>42825</v>
      </c>
      <c r="L53" s="10">
        <v>42895</v>
      </c>
      <c r="M53" s="11">
        <f t="shared" si="3"/>
        <v>71</v>
      </c>
      <c r="N53" s="11">
        <f t="shared" si="1"/>
        <v>71</v>
      </c>
      <c r="O53" s="8" t="s">
        <v>81</v>
      </c>
      <c r="P53" s="13" t="s">
        <v>82</v>
      </c>
    </row>
    <row r="54" spans="1:16" ht="15.75" hidden="1" customHeight="1" x14ac:dyDescent="0.2">
      <c r="A54" s="14" t="s">
        <v>83</v>
      </c>
      <c r="B54" s="14" t="s">
        <v>84</v>
      </c>
      <c r="C54" s="14" t="s">
        <v>85</v>
      </c>
      <c r="D54" s="15" t="s">
        <v>86</v>
      </c>
      <c r="E54" s="16">
        <v>708419</v>
      </c>
      <c r="F54" s="16">
        <v>1059776</v>
      </c>
      <c r="G54" s="16">
        <v>9.5820299999999996</v>
      </c>
      <c r="H54" s="16">
        <v>-85.100997000000007</v>
      </c>
      <c r="I54" s="14">
        <v>78</v>
      </c>
      <c r="J54" s="14" t="s">
        <v>26</v>
      </c>
      <c r="K54" s="17">
        <v>42700</v>
      </c>
      <c r="L54" s="17">
        <v>42836</v>
      </c>
      <c r="M54" s="18">
        <f t="shared" si="3"/>
        <v>137</v>
      </c>
      <c r="N54" s="11">
        <f t="shared" si="1"/>
        <v>137</v>
      </c>
      <c r="O54" s="15" t="s">
        <v>87</v>
      </c>
      <c r="P54" s="15" t="s">
        <v>86</v>
      </c>
    </row>
    <row r="55" spans="1:16" ht="15.75" hidden="1" customHeight="1" x14ac:dyDescent="0.2">
      <c r="A55" s="14" t="s">
        <v>83</v>
      </c>
      <c r="B55" s="14" t="s">
        <v>84</v>
      </c>
      <c r="C55" s="14" t="s">
        <v>85</v>
      </c>
      <c r="D55" s="15" t="s">
        <v>86</v>
      </c>
      <c r="E55" s="16">
        <v>708419</v>
      </c>
      <c r="F55" s="16">
        <v>1059776</v>
      </c>
      <c r="G55" s="16">
        <v>9.5820299999999996</v>
      </c>
      <c r="H55" s="16">
        <v>-85.100997000000007</v>
      </c>
      <c r="I55" s="14">
        <v>78</v>
      </c>
      <c r="J55" s="14" t="s">
        <v>26</v>
      </c>
      <c r="K55" s="17">
        <v>43054</v>
      </c>
      <c r="L55" s="17">
        <v>43069</v>
      </c>
      <c r="M55" s="18">
        <f t="shared" si="3"/>
        <v>16</v>
      </c>
      <c r="N55" s="11">
        <f t="shared" si="1"/>
        <v>16</v>
      </c>
      <c r="O55" s="15" t="s">
        <v>88</v>
      </c>
      <c r="P55" s="15" t="s">
        <v>86</v>
      </c>
    </row>
    <row r="56" spans="1:16" ht="15.75" hidden="1" customHeight="1" x14ac:dyDescent="0.2">
      <c r="A56" s="14" t="s">
        <v>83</v>
      </c>
      <c r="B56" s="14" t="s">
        <v>84</v>
      </c>
      <c r="C56" s="14" t="s">
        <v>85</v>
      </c>
      <c r="D56" s="15" t="s">
        <v>86</v>
      </c>
      <c r="E56" s="16">
        <v>708419</v>
      </c>
      <c r="F56" s="16">
        <v>1059776</v>
      </c>
      <c r="G56" s="16">
        <v>9.5820299999999996</v>
      </c>
      <c r="H56" s="16">
        <v>-85.100997000000007</v>
      </c>
      <c r="I56" s="14">
        <v>78</v>
      </c>
      <c r="J56" s="14" t="s">
        <v>26</v>
      </c>
      <c r="K56" s="17">
        <v>43070</v>
      </c>
      <c r="L56" s="17">
        <v>43100</v>
      </c>
      <c r="M56" s="18">
        <f t="shared" si="3"/>
        <v>31</v>
      </c>
      <c r="N56" s="11">
        <f t="shared" si="1"/>
        <v>31</v>
      </c>
      <c r="O56" s="15" t="s">
        <v>89</v>
      </c>
      <c r="P56" s="15" t="s">
        <v>86</v>
      </c>
    </row>
    <row r="57" spans="1:16" ht="15.75" hidden="1" customHeight="1" x14ac:dyDescent="0.2">
      <c r="A57" s="14" t="s">
        <v>83</v>
      </c>
      <c r="B57" s="14" t="s">
        <v>84</v>
      </c>
      <c r="C57" s="14" t="s">
        <v>85</v>
      </c>
      <c r="D57" s="15" t="s">
        <v>90</v>
      </c>
      <c r="E57" s="16">
        <v>708997</v>
      </c>
      <c r="F57" s="16">
        <v>1060299</v>
      </c>
      <c r="G57" s="16">
        <v>9.5867290000000001</v>
      </c>
      <c r="H57" s="16">
        <v>-85.095706000000007</v>
      </c>
      <c r="I57" s="14">
        <v>116</v>
      </c>
      <c r="J57" s="14" t="s">
        <v>26</v>
      </c>
      <c r="K57" s="14"/>
      <c r="L57" s="14"/>
      <c r="M57" s="18">
        <f t="shared" si="3"/>
        <v>0</v>
      </c>
      <c r="N57" s="11">
        <f t="shared" si="1"/>
        <v>0</v>
      </c>
      <c r="O57" s="15" t="s">
        <v>91</v>
      </c>
      <c r="P57" s="15" t="s">
        <v>90</v>
      </c>
    </row>
    <row r="58" spans="1:16" ht="15.75" hidden="1" customHeight="1" x14ac:dyDescent="0.2">
      <c r="A58" s="14" t="s">
        <v>83</v>
      </c>
      <c r="B58" s="14" t="s">
        <v>84</v>
      </c>
      <c r="C58" s="14" t="s">
        <v>85</v>
      </c>
      <c r="D58" s="15" t="s">
        <v>92</v>
      </c>
      <c r="E58" s="16">
        <v>709195</v>
      </c>
      <c r="F58" s="16">
        <v>1060522</v>
      </c>
      <c r="G58" s="16">
        <v>9.5887349999999998</v>
      </c>
      <c r="H58" s="16">
        <v>-85.093890999999999</v>
      </c>
      <c r="I58" s="14">
        <v>63</v>
      </c>
      <c r="J58" s="14" t="s">
        <v>26</v>
      </c>
      <c r="K58" s="17">
        <v>43054</v>
      </c>
      <c r="L58" s="17">
        <v>43097</v>
      </c>
      <c r="M58" s="18">
        <f t="shared" si="3"/>
        <v>44</v>
      </c>
      <c r="N58" s="11">
        <f t="shared" si="1"/>
        <v>44</v>
      </c>
      <c r="O58" s="15" t="s">
        <v>93</v>
      </c>
      <c r="P58" s="15" t="s">
        <v>92</v>
      </c>
    </row>
    <row r="59" spans="1:16" ht="15.75" hidden="1" customHeight="1" x14ac:dyDescent="0.2">
      <c r="A59" s="14" t="s">
        <v>83</v>
      </c>
      <c r="B59" s="14" t="s">
        <v>84</v>
      </c>
      <c r="C59" s="14" t="s">
        <v>85</v>
      </c>
      <c r="D59" s="15" t="s">
        <v>92</v>
      </c>
      <c r="E59" s="16">
        <v>709195</v>
      </c>
      <c r="F59" s="16">
        <v>1060522</v>
      </c>
      <c r="G59" s="16">
        <v>9.5887349999999998</v>
      </c>
      <c r="H59" s="16">
        <v>-85.093890999999999</v>
      </c>
      <c r="I59" s="14">
        <v>63</v>
      </c>
      <c r="J59" s="14" t="s">
        <v>26</v>
      </c>
      <c r="K59" s="17">
        <v>42704</v>
      </c>
      <c r="L59" s="17">
        <v>42740</v>
      </c>
      <c r="M59" s="18">
        <f t="shared" si="3"/>
        <v>37</v>
      </c>
      <c r="N59" s="11">
        <f t="shared" si="1"/>
        <v>37</v>
      </c>
      <c r="O59" s="15" t="s">
        <v>94</v>
      </c>
      <c r="P59" s="15" t="s">
        <v>92</v>
      </c>
    </row>
    <row r="60" spans="1:16" ht="15.75" hidden="1" customHeight="1" x14ac:dyDescent="0.2">
      <c r="A60" s="14" t="s">
        <v>83</v>
      </c>
      <c r="B60" s="14" t="s">
        <v>84</v>
      </c>
      <c r="C60" s="14" t="s">
        <v>85</v>
      </c>
      <c r="D60" s="15" t="s">
        <v>95</v>
      </c>
      <c r="E60" s="16">
        <v>707540</v>
      </c>
      <c r="F60" s="16">
        <v>1059606</v>
      </c>
      <c r="G60" s="16">
        <v>9.5805369999999996</v>
      </c>
      <c r="H60" s="16">
        <v>-85.109010999999995</v>
      </c>
      <c r="I60" s="14">
        <v>276</v>
      </c>
      <c r="J60" s="14" t="s">
        <v>26</v>
      </c>
      <c r="K60" s="17">
        <v>43046</v>
      </c>
      <c r="L60" s="17">
        <v>43191</v>
      </c>
      <c r="M60" s="18">
        <f t="shared" si="3"/>
        <v>146</v>
      </c>
      <c r="N60" s="11">
        <f t="shared" si="1"/>
        <v>146</v>
      </c>
      <c r="O60" s="15" t="s">
        <v>27</v>
      </c>
      <c r="P60" s="15" t="s">
        <v>95</v>
      </c>
    </row>
    <row r="61" spans="1:16" ht="15.75" hidden="1" customHeight="1" x14ac:dyDescent="0.2">
      <c r="A61" s="14" t="s">
        <v>83</v>
      </c>
      <c r="B61" s="14" t="s">
        <v>84</v>
      </c>
      <c r="C61" s="14" t="s">
        <v>85</v>
      </c>
      <c r="D61" s="15" t="s">
        <v>96</v>
      </c>
      <c r="E61" s="16">
        <v>707080</v>
      </c>
      <c r="F61" s="16">
        <v>1059626</v>
      </c>
      <c r="G61" s="16">
        <v>9.5807409999999997</v>
      </c>
      <c r="H61" s="16">
        <v>-85.113200000000006</v>
      </c>
      <c r="I61" s="14">
        <v>321</v>
      </c>
      <c r="J61" s="14" t="s">
        <v>26</v>
      </c>
      <c r="K61" s="17">
        <v>42694</v>
      </c>
      <c r="L61" s="17">
        <v>42726</v>
      </c>
      <c r="M61" s="18">
        <f t="shared" si="3"/>
        <v>33</v>
      </c>
      <c r="N61" s="11">
        <f t="shared" si="1"/>
        <v>33</v>
      </c>
      <c r="O61" s="15" t="s">
        <v>97</v>
      </c>
      <c r="P61" s="15" t="s">
        <v>96</v>
      </c>
    </row>
    <row r="62" spans="1:16" ht="15.75" hidden="1" customHeight="1" x14ac:dyDescent="0.2">
      <c r="A62" s="14" t="s">
        <v>83</v>
      </c>
      <c r="B62" s="14" t="s">
        <v>84</v>
      </c>
      <c r="C62" s="14" t="s">
        <v>85</v>
      </c>
      <c r="D62" s="15" t="s">
        <v>96</v>
      </c>
      <c r="E62" s="16">
        <v>707080</v>
      </c>
      <c r="F62" s="16">
        <v>1059626</v>
      </c>
      <c r="G62" s="16">
        <v>9.5807409999999997</v>
      </c>
      <c r="H62" s="16">
        <v>-85.113200000000006</v>
      </c>
      <c r="I62" s="14">
        <v>321</v>
      </c>
      <c r="J62" s="14" t="s">
        <v>26</v>
      </c>
      <c r="K62" s="17">
        <v>42726</v>
      </c>
      <c r="L62" s="17">
        <v>42740</v>
      </c>
      <c r="M62" s="18">
        <f t="shared" si="3"/>
        <v>15</v>
      </c>
      <c r="N62" s="11">
        <f t="shared" si="1"/>
        <v>15</v>
      </c>
      <c r="O62" s="15" t="s">
        <v>98</v>
      </c>
      <c r="P62" s="15" t="s">
        <v>96</v>
      </c>
    </row>
    <row r="63" spans="1:16" ht="15.75" hidden="1" customHeight="1" x14ac:dyDescent="0.2">
      <c r="A63" s="14" t="s">
        <v>83</v>
      </c>
      <c r="B63" s="14" t="s">
        <v>84</v>
      </c>
      <c r="C63" s="14" t="s">
        <v>85</v>
      </c>
      <c r="D63" s="15" t="s">
        <v>96</v>
      </c>
      <c r="E63" s="16">
        <v>707080</v>
      </c>
      <c r="F63" s="16">
        <v>1059626</v>
      </c>
      <c r="G63" s="16">
        <v>9.5807409999999997</v>
      </c>
      <c r="H63" s="16">
        <v>-85.113200000000006</v>
      </c>
      <c r="I63" s="14">
        <v>321</v>
      </c>
      <c r="J63" s="14" t="s">
        <v>26</v>
      </c>
      <c r="K63" s="17">
        <v>42740</v>
      </c>
      <c r="L63" s="17">
        <v>42778</v>
      </c>
      <c r="M63" s="18">
        <f t="shared" si="3"/>
        <v>39</v>
      </c>
      <c r="N63" s="11">
        <f t="shared" si="1"/>
        <v>39</v>
      </c>
      <c r="O63" s="15" t="s">
        <v>99</v>
      </c>
      <c r="P63" s="15" t="s">
        <v>96</v>
      </c>
    </row>
    <row r="64" spans="1:16" ht="15.75" hidden="1" customHeight="1" x14ac:dyDescent="0.2">
      <c r="A64" s="14" t="s">
        <v>83</v>
      </c>
      <c r="B64" s="14" t="s">
        <v>84</v>
      </c>
      <c r="C64" s="14" t="s">
        <v>85</v>
      </c>
      <c r="D64" s="15" t="s">
        <v>96</v>
      </c>
      <c r="E64" s="16">
        <v>707080</v>
      </c>
      <c r="F64" s="16">
        <v>1059626</v>
      </c>
      <c r="G64" s="16">
        <v>9.5807409999999997</v>
      </c>
      <c r="H64" s="16">
        <v>-85.113200000000006</v>
      </c>
      <c r="I64" s="14">
        <v>321</v>
      </c>
      <c r="J64" s="14" t="s">
        <v>26</v>
      </c>
      <c r="K64" s="17">
        <v>42778</v>
      </c>
      <c r="L64" s="17">
        <v>42806</v>
      </c>
      <c r="M64" s="18">
        <f t="shared" si="3"/>
        <v>29</v>
      </c>
      <c r="N64" s="11">
        <f t="shared" si="1"/>
        <v>29</v>
      </c>
      <c r="O64" s="15" t="s">
        <v>100</v>
      </c>
      <c r="P64" s="15" t="s">
        <v>96</v>
      </c>
    </row>
    <row r="65" spans="1:16" ht="15.75" hidden="1" customHeight="1" x14ac:dyDescent="0.2">
      <c r="A65" s="14" t="s">
        <v>83</v>
      </c>
      <c r="B65" s="14" t="s">
        <v>84</v>
      </c>
      <c r="C65" s="14" t="s">
        <v>85</v>
      </c>
      <c r="D65" s="15" t="s">
        <v>96</v>
      </c>
      <c r="E65" s="16">
        <v>707080</v>
      </c>
      <c r="F65" s="16">
        <v>1059626</v>
      </c>
      <c r="G65" s="16">
        <v>9.5807409999999997</v>
      </c>
      <c r="H65" s="16">
        <v>-85.113200000000006</v>
      </c>
      <c r="I65" s="14">
        <v>321</v>
      </c>
      <c r="J65" s="14" t="s">
        <v>26</v>
      </c>
      <c r="K65" s="17">
        <v>42806</v>
      </c>
      <c r="L65" s="17">
        <v>42811</v>
      </c>
      <c r="M65" s="18">
        <f t="shared" si="3"/>
        <v>6</v>
      </c>
      <c r="N65" s="11">
        <f t="shared" si="1"/>
        <v>6</v>
      </c>
      <c r="O65" s="15" t="s">
        <v>101</v>
      </c>
      <c r="P65" s="15" t="s">
        <v>96</v>
      </c>
    </row>
    <row r="66" spans="1:16" ht="15.75" hidden="1" customHeight="1" x14ac:dyDescent="0.2">
      <c r="A66" s="14" t="s">
        <v>83</v>
      </c>
      <c r="B66" s="14" t="s">
        <v>84</v>
      </c>
      <c r="C66" s="14" t="s">
        <v>85</v>
      </c>
      <c r="D66" s="15" t="s">
        <v>102</v>
      </c>
      <c r="E66" s="16">
        <v>707420</v>
      </c>
      <c r="F66" s="16">
        <v>1060618</v>
      </c>
      <c r="G66" s="16">
        <v>9.5896910000000002</v>
      </c>
      <c r="H66" s="16">
        <v>-85.110052999999994</v>
      </c>
      <c r="I66" s="14">
        <v>195</v>
      </c>
      <c r="J66" s="14" t="s">
        <v>26</v>
      </c>
      <c r="K66" s="17">
        <v>43052</v>
      </c>
      <c r="L66" s="17">
        <v>43089</v>
      </c>
      <c r="M66" s="18">
        <f t="shared" si="3"/>
        <v>38</v>
      </c>
      <c r="N66" s="11">
        <f t="shared" si="1"/>
        <v>38</v>
      </c>
      <c r="O66" s="15" t="s">
        <v>103</v>
      </c>
      <c r="P66" s="15" t="s">
        <v>102</v>
      </c>
    </row>
    <row r="67" spans="1:16" ht="15.75" hidden="1" customHeight="1" x14ac:dyDescent="0.2">
      <c r="A67" s="14" t="s">
        <v>104</v>
      </c>
      <c r="B67" s="14" t="s">
        <v>84</v>
      </c>
      <c r="C67" s="14" t="s">
        <v>85</v>
      </c>
      <c r="D67" s="15" t="s">
        <v>86</v>
      </c>
      <c r="E67" s="16">
        <v>708419</v>
      </c>
      <c r="F67" s="16">
        <v>1059776</v>
      </c>
      <c r="G67" s="16">
        <v>9.5820299999999996</v>
      </c>
      <c r="H67" s="16">
        <v>-85.100997000000007</v>
      </c>
      <c r="I67" s="14">
        <v>78</v>
      </c>
      <c r="J67" s="14" t="s">
        <v>26</v>
      </c>
      <c r="K67" s="17">
        <v>43102</v>
      </c>
      <c r="L67" s="17">
        <v>43131</v>
      </c>
      <c r="M67" s="18">
        <f t="shared" si="3"/>
        <v>30</v>
      </c>
      <c r="N67" s="11">
        <f t="shared" si="1"/>
        <v>30</v>
      </c>
      <c r="O67" s="15" t="s">
        <v>105</v>
      </c>
      <c r="P67" s="15" t="s">
        <v>86</v>
      </c>
    </row>
    <row r="68" spans="1:16" ht="15.75" hidden="1" customHeight="1" x14ac:dyDescent="0.2">
      <c r="A68" s="14" t="s">
        <v>104</v>
      </c>
      <c r="B68" s="14" t="s">
        <v>84</v>
      </c>
      <c r="C68" s="14" t="s">
        <v>85</v>
      </c>
      <c r="D68" s="15" t="s">
        <v>86</v>
      </c>
      <c r="E68" s="16">
        <v>708419</v>
      </c>
      <c r="F68" s="16">
        <v>1059776</v>
      </c>
      <c r="G68" s="16">
        <v>9.5820299999999996</v>
      </c>
      <c r="H68" s="16">
        <v>-85.100997000000007</v>
      </c>
      <c r="I68" s="14">
        <v>78</v>
      </c>
      <c r="J68" s="14" t="s">
        <v>26</v>
      </c>
      <c r="K68" s="17">
        <v>43132</v>
      </c>
      <c r="L68" s="17">
        <v>43159</v>
      </c>
      <c r="M68" s="18">
        <f t="shared" si="3"/>
        <v>28</v>
      </c>
      <c r="N68" s="11">
        <f t="shared" si="1"/>
        <v>28</v>
      </c>
      <c r="O68" s="15" t="s">
        <v>106</v>
      </c>
      <c r="P68" s="15" t="s">
        <v>86</v>
      </c>
    </row>
    <row r="69" spans="1:16" ht="15.75" hidden="1" customHeight="1" x14ac:dyDescent="0.2">
      <c r="A69" s="14" t="s">
        <v>104</v>
      </c>
      <c r="B69" s="14" t="s">
        <v>84</v>
      </c>
      <c r="C69" s="14" t="s">
        <v>85</v>
      </c>
      <c r="D69" s="15" t="s">
        <v>86</v>
      </c>
      <c r="E69" s="16">
        <v>708419</v>
      </c>
      <c r="F69" s="16">
        <v>1059776</v>
      </c>
      <c r="G69" s="16">
        <v>9.5820299999999996</v>
      </c>
      <c r="H69" s="16">
        <v>-85.100997000000007</v>
      </c>
      <c r="I69" s="14">
        <v>78</v>
      </c>
      <c r="J69" s="14" t="s">
        <v>26</v>
      </c>
      <c r="K69" s="17">
        <v>43160</v>
      </c>
      <c r="L69" s="17">
        <v>43190</v>
      </c>
      <c r="M69" s="18">
        <f t="shared" si="3"/>
        <v>31</v>
      </c>
      <c r="N69" s="11">
        <f t="shared" si="1"/>
        <v>31</v>
      </c>
      <c r="O69" s="15" t="s">
        <v>107</v>
      </c>
      <c r="P69" s="15" t="s">
        <v>86</v>
      </c>
    </row>
    <row r="70" spans="1:16" ht="15.75" hidden="1" customHeight="1" x14ac:dyDescent="0.2">
      <c r="A70" s="14" t="s">
        <v>104</v>
      </c>
      <c r="B70" s="14" t="s">
        <v>84</v>
      </c>
      <c r="C70" s="14" t="s">
        <v>85</v>
      </c>
      <c r="D70" s="15" t="s">
        <v>86</v>
      </c>
      <c r="E70" s="16">
        <v>708419</v>
      </c>
      <c r="F70" s="16">
        <v>1059776</v>
      </c>
      <c r="G70" s="16">
        <v>9.5820299999999996</v>
      </c>
      <c r="H70" s="16">
        <v>-85.100997000000007</v>
      </c>
      <c r="I70" s="14">
        <v>78</v>
      </c>
      <c r="J70" s="14" t="s">
        <v>26</v>
      </c>
      <c r="K70" s="17">
        <v>43191</v>
      </c>
      <c r="L70" s="17">
        <v>43220</v>
      </c>
      <c r="M70" s="18">
        <f t="shared" si="3"/>
        <v>30</v>
      </c>
      <c r="N70" s="11">
        <f t="shared" si="1"/>
        <v>30</v>
      </c>
      <c r="O70" s="15" t="s">
        <v>108</v>
      </c>
      <c r="P70" s="15" t="s">
        <v>86</v>
      </c>
    </row>
    <row r="71" spans="1:16" ht="15.75" hidden="1" customHeight="1" x14ac:dyDescent="0.2">
      <c r="A71" s="14" t="s">
        <v>104</v>
      </c>
      <c r="B71" s="14" t="s">
        <v>84</v>
      </c>
      <c r="C71" s="14" t="s">
        <v>85</v>
      </c>
      <c r="D71" s="15" t="s">
        <v>86</v>
      </c>
      <c r="E71" s="16">
        <v>708419</v>
      </c>
      <c r="F71" s="16">
        <v>1059776</v>
      </c>
      <c r="G71" s="16">
        <v>9.5820299999999996</v>
      </c>
      <c r="H71" s="16">
        <v>-85.100997000000007</v>
      </c>
      <c r="I71" s="14">
        <v>78</v>
      </c>
      <c r="J71" s="14" t="s">
        <v>26</v>
      </c>
      <c r="K71" s="17">
        <v>43221</v>
      </c>
      <c r="L71" s="17">
        <v>43251</v>
      </c>
      <c r="M71" s="18">
        <f t="shared" si="3"/>
        <v>31</v>
      </c>
      <c r="N71" s="11">
        <f t="shared" si="1"/>
        <v>31</v>
      </c>
      <c r="O71" s="15" t="s">
        <v>109</v>
      </c>
      <c r="P71" s="15" t="s">
        <v>86</v>
      </c>
    </row>
    <row r="72" spans="1:16" ht="15.75" hidden="1" customHeight="1" x14ac:dyDescent="0.2">
      <c r="A72" s="14" t="s">
        <v>104</v>
      </c>
      <c r="B72" s="14" t="s">
        <v>84</v>
      </c>
      <c r="C72" s="14" t="s">
        <v>85</v>
      </c>
      <c r="D72" s="15" t="s">
        <v>86</v>
      </c>
      <c r="E72" s="16">
        <v>708419</v>
      </c>
      <c r="F72" s="16">
        <v>1059776</v>
      </c>
      <c r="G72" s="16">
        <v>9.5820299999999996</v>
      </c>
      <c r="H72" s="16">
        <v>-85.100997000000007</v>
      </c>
      <c r="I72" s="14">
        <v>78</v>
      </c>
      <c r="J72" s="14" t="s">
        <v>26</v>
      </c>
      <c r="K72" s="17">
        <v>43252</v>
      </c>
      <c r="L72" s="17">
        <v>43281</v>
      </c>
      <c r="M72" s="18">
        <f t="shared" si="3"/>
        <v>30</v>
      </c>
      <c r="N72" s="11">
        <f t="shared" si="1"/>
        <v>30</v>
      </c>
      <c r="O72" s="15" t="s">
        <v>110</v>
      </c>
      <c r="P72" s="15" t="s">
        <v>86</v>
      </c>
    </row>
    <row r="73" spans="1:16" ht="15.75" hidden="1" customHeight="1" x14ac:dyDescent="0.2">
      <c r="A73" s="14" t="s">
        <v>104</v>
      </c>
      <c r="B73" s="14" t="s">
        <v>84</v>
      </c>
      <c r="C73" s="14" t="s">
        <v>85</v>
      </c>
      <c r="D73" s="15" t="s">
        <v>86</v>
      </c>
      <c r="E73" s="16">
        <v>708419</v>
      </c>
      <c r="F73" s="16">
        <v>1059776</v>
      </c>
      <c r="G73" s="16">
        <v>9.5820299999999996</v>
      </c>
      <c r="H73" s="16">
        <v>-85.100997000000007</v>
      </c>
      <c r="I73" s="14">
        <v>78</v>
      </c>
      <c r="J73" s="14" t="s">
        <v>26</v>
      </c>
      <c r="K73" s="17">
        <v>43282</v>
      </c>
      <c r="L73" s="17">
        <v>43312</v>
      </c>
      <c r="M73" s="18">
        <f t="shared" si="3"/>
        <v>31</v>
      </c>
      <c r="N73" s="11">
        <f t="shared" si="1"/>
        <v>31</v>
      </c>
      <c r="O73" s="15" t="s">
        <v>111</v>
      </c>
      <c r="P73" s="15" t="s">
        <v>86</v>
      </c>
    </row>
    <row r="74" spans="1:16" ht="15.75" hidden="1" customHeight="1" x14ac:dyDescent="0.2">
      <c r="A74" s="14" t="s">
        <v>104</v>
      </c>
      <c r="B74" s="14" t="s">
        <v>84</v>
      </c>
      <c r="C74" s="14" t="s">
        <v>85</v>
      </c>
      <c r="D74" s="15" t="s">
        <v>86</v>
      </c>
      <c r="E74" s="16">
        <v>708419</v>
      </c>
      <c r="F74" s="16">
        <v>1059776</v>
      </c>
      <c r="G74" s="16">
        <v>9.5820299999999996</v>
      </c>
      <c r="H74" s="16">
        <v>-85.100997000000007</v>
      </c>
      <c r="I74" s="14">
        <v>78</v>
      </c>
      <c r="J74" s="14" t="s">
        <v>26</v>
      </c>
      <c r="K74" s="17">
        <v>43313</v>
      </c>
      <c r="L74" s="17">
        <v>43337</v>
      </c>
      <c r="M74" s="18">
        <f t="shared" si="3"/>
        <v>25</v>
      </c>
      <c r="N74" s="11">
        <f t="shared" si="1"/>
        <v>25</v>
      </c>
      <c r="O74" s="15" t="s">
        <v>112</v>
      </c>
      <c r="P74" s="15" t="s">
        <v>86</v>
      </c>
    </row>
    <row r="75" spans="1:16" ht="15.75" hidden="1" customHeight="1" x14ac:dyDescent="0.2">
      <c r="A75" s="14" t="s">
        <v>104</v>
      </c>
      <c r="B75" s="14" t="s">
        <v>84</v>
      </c>
      <c r="C75" s="14" t="s">
        <v>85</v>
      </c>
      <c r="D75" s="15" t="s">
        <v>90</v>
      </c>
      <c r="E75" s="16">
        <v>708997</v>
      </c>
      <c r="F75" s="16">
        <v>1060299</v>
      </c>
      <c r="G75" s="16">
        <v>9.5867290000000001</v>
      </c>
      <c r="H75" s="16">
        <v>-85.095706000000007</v>
      </c>
      <c r="I75" s="14">
        <v>116</v>
      </c>
      <c r="J75" s="14" t="s">
        <v>26</v>
      </c>
      <c r="K75" s="17">
        <v>43058</v>
      </c>
      <c r="L75" s="17">
        <v>43064</v>
      </c>
      <c r="M75" s="18">
        <f t="shared" si="3"/>
        <v>7</v>
      </c>
      <c r="N75" s="11">
        <f t="shared" si="1"/>
        <v>7</v>
      </c>
      <c r="O75" s="15" t="s">
        <v>113</v>
      </c>
      <c r="P75" s="15" t="s">
        <v>90</v>
      </c>
    </row>
    <row r="76" spans="1:16" ht="15.75" hidden="1" customHeight="1" x14ac:dyDescent="0.2">
      <c r="A76" s="14" t="s">
        <v>104</v>
      </c>
      <c r="B76" s="14" t="s">
        <v>84</v>
      </c>
      <c r="C76" s="14" t="s">
        <v>85</v>
      </c>
      <c r="D76" s="15" t="s">
        <v>92</v>
      </c>
      <c r="E76" s="16">
        <v>709195</v>
      </c>
      <c r="F76" s="16">
        <v>1060522</v>
      </c>
      <c r="G76" s="16">
        <v>9.5887349999999998</v>
      </c>
      <c r="H76" s="16">
        <v>-85.093890999999999</v>
      </c>
      <c r="I76" s="14">
        <v>63</v>
      </c>
      <c r="J76" s="14" t="s">
        <v>26</v>
      </c>
      <c r="K76" s="17">
        <v>43097</v>
      </c>
      <c r="L76" s="17">
        <v>43125</v>
      </c>
      <c r="M76" s="18">
        <f t="shared" si="3"/>
        <v>29</v>
      </c>
      <c r="N76" s="11">
        <f t="shared" si="1"/>
        <v>29</v>
      </c>
      <c r="O76" s="15" t="s">
        <v>114</v>
      </c>
      <c r="P76" s="15" t="s">
        <v>92</v>
      </c>
    </row>
    <row r="77" spans="1:16" ht="15.75" hidden="1" customHeight="1" x14ac:dyDescent="0.2">
      <c r="A77" s="14" t="s">
        <v>104</v>
      </c>
      <c r="B77" s="14" t="s">
        <v>84</v>
      </c>
      <c r="C77" s="14" t="s">
        <v>85</v>
      </c>
      <c r="D77" s="15" t="s">
        <v>92</v>
      </c>
      <c r="E77" s="16">
        <v>709195</v>
      </c>
      <c r="F77" s="16">
        <v>1060522</v>
      </c>
      <c r="G77" s="16">
        <v>9.5887349999999998</v>
      </c>
      <c r="H77" s="16">
        <v>-85.093890999999999</v>
      </c>
      <c r="I77" s="14">
        <v>63</v>
      </c>
      <c r="J77" s="14" t="s">
        <v>26</v>
      </c>
      <c r="K77" s="17">
        <v>43125</v>
      </c>
      <c r="L77" s="17">
        <v>43158</v>
      </c>
      <c r="M77" s="18">
        <f t="shared" si="3"/>
        <v>34</v>
      </c>
      <c r="N77" s="11">
        <f t="shared" si="1"/>
        <v>34</v>
      </c>
      <c r="O77" s="15" t="s">
        <v>115</v>
      </c>
      <c r="P77" s="15" t="s">
        <v>92</v>
      </c>
    </row>
    <row r="78" spans="1:16" ht="15.75" hidden="1" customHeight="1" x14ac:dyDescent="0.2">
      <c r="A78" s="14" t="s">
        <v>104</v>
      </c>
      <c r="B78" s="14" t="s">
        <v>84</v>
      </c>
      <c r="C78" s="14" t="s">
        <v>85</v>
      </c>
      <c r="D78" s="15" t="s">
        <v>92</v>
      </c>
      <c r="E78" s="16">
        <v>709195</v>
      </c>
      <c r="F78" s="16">
        <v>1060522</v>
      </c>
      <c r="G78" s="16">
        <v>9.5887349999999998</v>
      </c>
      <c r="H78" s="16">
        <v>-85.093890999999999</v>
      </c>
      <c r="I78" s="14">
        <v>63</v>
      </c>
      <c r="J78" s="14" t="s">
        <v>26</v>
      </c>
      <c r="K78" s="17">
        <v>43158</v>
      </c>
      <c r="L78" s="17">
        <v>43159</v>
      </c>
      <c r="M78" s="18">
        <f t="shared" si="3"/>
        <v>2</v>
      </c>
      <c r="N78" s="11">
        <f t="shared" si="1"/>
        <v>2</v>
      </c>
      <c r="O78" s="15" t="s">
        <v>116</v>
      </c>
      <c r="P78" s="15" t="s">
        <v>92</v>
      </c>
    </row>
    <row r="79" spans="1:16" ht="15.75" hidden="1" customHeight="1" x14ac:dyDescent="0.2">
      <c r="A79" s="14" t="s">
        <v>104</v>
      </c>
      <c r="B79" s="14" t="s">
        <v>84</v>
      </c>
      <c r="C79" s="14" t="s">
        <v>85</v>
      </c>
      <c r="D79" s="15" t="s">
        <v>92</v>
      </c>
      <c r="E79" s="16">
        <v>709195</v>
      </c>
      <c r="F79" s="16">
        <v>1060522</v>
      </c>
      <c r="G79" s="16">
        <v>9.5887349999999998</v>
      </c>
      <c r="H79" s="16">
        <v>-85.093890999999999</v>
      </c>
      <c r="I79" s="14">
        <v>63</v>
      </c>
      <c r="J79" s="14" t="s">
        <v>26</v>
      </c>
      <c r="K79" s="17">
        <v>43159</v>
      </c>
      <c r="L79" s="17">
        <v>43171</v>
      </c>
      <c r="M79" s="18">
        <f t="shared" si="3"/>
        <v>13</v>
      </c>
      <c r="N79" s="11">
        <f t="shared" si="1"/>
        <v>13</v>
      </c>
      <c r="O79" s="15" t="s">
        <v>117</v>
      </c>
      <c r="P79" s="15" t="s">
        <v>92</v>
      </c>
    </row>
    <row r="80" spans="1:16" ht="15.75" hidden="1" customHeight="1" x14ac:dyDescent="0.2">
      <c r="A80" s="14" t="s">
        <v>104</v>
      </c>
      <c r="B80" s="14" t="s">
        <v>84</v>
      </c>
      <c r="C80" s="14" t="s">
        <v>85</v>
      </c>
      <c r="D80" s="15" t="s">
        <v>92</v>
      </c>
      <c r="E80" s="16">
        <v>709195</v>
      </c>
      <c r="F80" s="16">
        <v>1060522</v>
      </c>
      <c r="G80" s="16">
        <v>9.5887349999999998</v>
      </c>
      <c r="H80" s="16">
        <v>-85.093890999999999</v>
      </c>
      <c r="I80" s="14">
        <v>63</v>
      </c>
      <c r="J80" s="14" t="s">
        <v>26</v>
      </c>
      <c r="K80" s="17">
        <v>43171</v>
      </c>
      <c r="L80" s="17">
        <v>43197</v>
      </c>
      <c r="M80" s="18">
        <f t="shared" si="3"/>
        <v>27</v>
      </c>
      <c r="N80" s="11">
        <f t="shared" si="1"/>
        <v>27</v>
      </c>
      <c r="O80" s="15" t="s">
        <v>118</v>
      </c>
      <c r="P80" s="15" t="s">
        <v>92</v>
      </c>
    </row>
    <row r="81" spans="1:27" ht="15.75" hidden="1" customHeight="1" x14ac:dyDescent="0.2">
      <c r="A81" s="14" t="s">
        <v>104</v>
      </c>
      <c r="B81" s="14" t="s">
        <v>84</v>
      </c>
      <c r="C81" s="14" t="s">
        <v>85</v>
      </c>
      <c r="D81" s="15" t="s">
        <v>92</v>
      </c>
      <c r="E81" s="16">
        <v>709195</v>
      </c>
      <c r="F81" s="16">
        <v>1060522</v>
      </c>
      <c r="G81" s="16">
        <v>9.5887349999999998</v>
      </c>
      <c r="H81" s="16">
        <v>-85.093890999999999</v>
      </c>
      <c r="I81" s="14">
        <v>63</v>
      </c>
      <c r="J81" s="14" t="s">
        <v>26</v>
      </c>
      <c r="K81" s="17">
        <v>43197</v>
      </c>
      <c r="L81" s="17">
        <v>43202</v>
      </c>
      <c r="M81" s="18">
        <f t="shared" si="3"/>
        <v>6</v>
      </c>
      <c r="N81" s="11">
        <f t="shared" si="1"/>
        <v>6</v>
      </c>
      <c r="O81" s="15" t="s">
        <v>119</v>
      </c>
      <c r="P81" s="15" t="s">
        <v>92</v>
      </c>
    </row>
    <row r="82" spans="1:27" ht="15.75" hidden="1" customHeight="1" x14ac:dyDescent="0.2">
      <c r="A82" s="14" t="s">
        <v>104</v>
      </c>
      <c r="B82" s="14" t="s">
        <v>84</v>
      </c>
      <c r="C82" s="14" t="s">
        <v>85</v>
      </c>
      <c r="D82" s="15" t="s">
        <v>92</v>
      </c>
      <c r="E82" s="16">
        <v>709195</v>
      </c>
      <c r="F82" s="16">
        <v>1060522</v>
      </c>
      <c r="G82" s="16">
        <v>9.5887349999999998</v>
      </c>
      <c r="H82" s="16">
        <v>-85.093890999999999</v>
      </c>
      <c r="I82" s="14">
        <v>63</v>
      </c>
      <c r="J82" s="14" t="s">
        <v>26</v>
      </c>
      <c r="K82" s="17">
        <v>43200</v>
      </c>
      <c r="L82" s="17">
        <v>43224</v>
      </c>
      <c r="M82" s="18">
        <f t="shared" si="3"/>
        <v>25</v>
      </c>
      <c r="N82" s="11">
        <f t="shared" si="1"/>
        <v>25</v>
      </c>
      <c r="O82" s="15" t="s">
        <v>120</v>
      </c>
      <c r="P82" s="15" t="s">
        <v>92</v>
      </c>
    </row>
    <row r="83" spans="1:27" ht="15.75" hidden="1" customHeight="1" x14ac:dyDescent="0.2">
      <c r="A83" s="14" t="s">
        <v>104</v>
      </c>
      <c r="B83" s="14" t="s">
        <v>84</v>
      </c>
      <c r="C83" s="14" t="s">
        <v>85</v>
      </c>
      <c r="D83" s="15" t="s">
        <v>92</v>
      </c>
      <c r="E83" s="16">
        <v>709195</v>
      </c>
      <c r="F83" s="16">
        <v>1060522</v>
      </c>
      <c r="G83" s="16">
        <v>9.5887349999999998</v>
      </c>
      <c r="H83" s="16">
        <v>-85.093890999999999</v>
      </c>
      <c r="I83" s="14">
        <v>63</v>
      </c>
      <c r="J83" s="14" t="s">
        <v>26</v>
      </c>
      <c r="K83" s="17">
        <v>43224</v>
      </c>
      <c r="L83" s="17">
        <v>43247</v>
      </c>
      <c r="M83" s="18">
        <f t="shared" si="3"/>
        <v>24</v>
      </c>
      <c r="N83" s="11">
        <f t="shared" si="1"/>
        <v>24</v>
      </c>
      <c r="O83" s="15" t="s">
        <v>121</v>
      </c>
      <c r="P83" s="15" t="s">
        <v>92</v>
      </c>
    </row>
    <row r="84" spans="1:27" ht="15.75" hidden="1" customHeight="1" x14ac:dyDescent="0.2">
      <c r="A84" s="14" t="s">
        <v>104</v>
      </c>
      <c r="B84" s="14" t="s">
        <v>84</v>
      </c>
      <c r="C84" s="14" t="s">
        <v>85</v>
      </c>
      <c r="D84" s="15" t="s">
        <v>92</v>
      </c>
      <c r="E84" s="16">
        <v>709195</v>
      </c>
      <c r="F84" s="16">
        <v>1060522</v>
      </c>
      <c r="G84" s="16">
        <v>9.5887349999999998</v>
      </c>
      <c r="H84" s="16">
        <v>-85.093890999999999</v>
      </c>
      <c r="I84" s="14">
        <v>63</v>
      </c>
      <c r="J84" s="14" t="s">
        <v>26</v>
      </c>
      <c r="K84" s="17">
        <v>43248</v>
      </c>
      <c r="L84" s="17">
        <v>43276</v>
      </c>
      <c r="M84" s="18">
        <f t="shared" si="3"/>
        <v>29</v>
      </c>
      <c r="N84" s="11">
        <f t="shared" si="1"/>
        <v>29</v>
      </c>
      <c r="O84" s="15" t="s">
        <v>122</v>
      </c>
      <c r="P84" s="15" t="s">
        <v>92</v>
      </c>
    </row>
    <row r="85" spans="1:27" ht="18" hidden="1" customHeight="1" x14ac:dyDescent="0.2">
      <c r="A85" s="14" t="s">
        <v>104</v>
      </c>
      <c r="B85" s="14" t="s">
        <v>84</v>
      </c>
      <c r="C85" s="14" t="s">
        <v>85</v>
      </c>
      <c r="D85" s="15" t="s">
        <v>92</v>
      </c>
      <c r="E85" s="16">
        <v>709195</v>
      </c>
      <c r="F85" s="16">
        <v>1060522</v>
      </c>
      <c r="G85" s="16">
        <v>9.5887349999999998</v>
      </c>
      <c r="H85" s="16">
        <v>-85.093890999999999</v>
      </c>
      <c r="I85" s="14">
        <v>63</v>
      </c>
      <c r="J85" s="14" t="s">
        <v>26</v>
      </c>
      <c r="K85" s="17">
        <v>43282</v>
      </c>
      <c r="L85" s="17">
        <v>43312</v>
      </c>
      <c r="M85" s="18">
        <f t="shared" si="3"/>
        <v>31</v>
      </c>
      <c r="N85" s="11">
        <f t="shared" si="1"/>
        <v>31</v>
      </c>
      <c r="O85" s="15" t="s">
        <v>123</v>
      </c>
      <c r="P85" s="15" t="s">
        <v>92</v>
      </c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</row>
    <row r="86" spans="1:27" ht="15.75" hidden="1" customHeight="1" x14ac:dyDescent="0.2">
      <c r="A86" s="14" t="s">
        <v>104</v>
      </c>
      <c r="B86" s="14" t="s">
        <v>84</v>
      </c>
      <c r="C86" s="14" t="s">
        <v>85</v>
      </c>
      <c r="D86" s="15" t="s">
        <v>95</v>
      </c>
      <c r="E86" s="16">
        <v>707540</v>
      </c>
      <c r="F86" s="16">
        <v>1059606</v>
      </c>
      <c r="G86" s="16">
        <v>9.5805369999999996</v>
      </c>
      <c r="H86" s="16">
        <v>-85.109010999999995</v>
      </c>
      <c r="I86" s="14">
        <v>276</v>
      </c>
      <c r="J86" s="14" t="s">
        <v>26</v>
      </c>
      <c r="K86" s="17">
        <v>43046</v>
      </c>
      <c r="L86" s="17">
        <v>43160</v>
      </c>
      <c r="M86" s="18">
        <f t="shared" si="3"/>
        <v>115</v>
      </c>
      <c r="N86" s="11">
        <f t="shared" si="1"/>
        <v>115</v>
      </c>
      <c r="O86" s="15" t="s">
        <v>124</v>
      </c>
      <c r="P86" s="15" t="s">
        <v>95</v>
      </c>
    </row>
    <row r="87" spans="1:27" ht="15.75" hidden="1" customHeight="1" x14ac:dyDescent="0.2">
      <c r="A87" s="14" t="s">
        <v>104</v>
      </c>
      <c r="B87" s="14" t="s">
        <v>84</v>
      </c>
      <c r="C87" s="14" t="s">
        <v>85</v>
      </c>
      <c r="D87" s="15" t="s">
        <v>96</v>
      </c>
      <c r="E87" s="16">
        <v>707080</v>
      </c>
      <c r="F87" s="16">
        <v>1059626</v>
      </c>
      <c r="G87" s="16">
        <v>9.5807409999999997</v>
      </c>
      <c r="H87" s="16">
        <v>-85.113200000000006</v>
      </c>
      <c r="I87" s="14">
        <v>321</v>
      </c>
      <c r="J87" s="14" t="s">
        <v>26</v>
      </c>
      <c r="K87" s="17">
        <v>43052</v>
      </c>
      <c r="L87" s="17">
        <v>43164</v>
      </c>
      <c r="M87" s="18">
        <f t="shared" si="3"/>
        <v>113</v>
      </c>
      <c r="N87" s="11">
        <f t="shared" si="1"/>
        <v>113</v>
      </c>
      <c r="O87" s="15" t="s">
        <v>125</v>
      </c>
      <c r="P87" s="15" t="s">
        <v>96</v>
      </c>
    </row>
    <row r="88" spans="1:27" ht="15.75" hidden="1" customHeight="1" x14ac:dyDescent="0.2">
      <c r="A88" s="14" t="s">
        <v>104</v>
      </c>
      <c r="B88" s="14" t="s">
        <v>84</v>
      </c>
      <c r="C88" s="14" t="s">
        <v>85</v>
      </c>
      <c r="D88" s="15" t="s">
        <v>96</v>
      </c>
      <c r="E88" s="16">
        <v>707080</v>
      </c>
      <c r="F88" s="16">
        <v>1059626</v>
      </c>
      <c r="G88" s="16">
        <v>9.5807409999999997</v>
      </c>
      <c r="H88" s="16">
        <v>-85.113200000000006</v>
      </c>
      <c r="I88" s="14">
        <v>321</v>
      </c>
      <c r="J88" s="14" t="s">
        <v>26</v>
      </c>
      <c r="K88" s="17">
        <v>43164</v>
      </c>
      <c r="L88" s="17">
        <v>43192</v>
      </c>
      <c r="M88" s="18">
        <f t="shared" si="3"/>
        <v>29</v>
      </c>
      <c r="N88" s="11">
        <f t="shared" si="1"/>
        <v>29</v>
      </c>
      <c r="O88" s="15" t="s">
        <v>126</v>
      </c>
      <c r="P88" s="15" t="s">
        <v>96</v>
      </c>
    </row>
    <row r="89" spans="1:27" ht="15.75" hidden="1" customHeight="1" x14ac:dyDescent="0.2">
      <c r="A89" s="14" t="s">
        <v>104</v>
      </c>
      <c r="B89" s="14" t="s">
        <v>84</v>
      </c>
      <c r="C89" s="14" t="s">
        <v>85</v>
      </c>
      <c r="D89" s="15" t="s">
        <v>102</v>
      </c>
      <c r="E89" s="16">
        <v>707420</v>
      </c>
      <c r="F89" s="16">
        <v>1060618</v>
      </c>
      <c r="G89" s="16">
        <v>9.5896910000000002</v>
      </c>
      <c r="H89" s="16">
        <v>-85.110052999999994</v>
      </c>
      <c r="I89" s="14">
        <v>195</v>
      </c>
      <c r="J89" s="14" t="s">
        <v>26</v>
      </c>
      <c r="K89" s="17">
        <v>43157</v>
      </c>
      <c r="L89" s="17">
        <v>43187</v>
      </c>
      <c r="M89" s="18">
        <f t="shared" si="3"/>
        <v>31</v>
      </c>
      <c r="N89" s="11">
        <f t="shared" si="1"/>
        <v>31</v>
      </c>
      <c r="O89" s="15" t="s">
        <v>127</v>
      </c>
      <c r="P89" s="15" t="s">
        <v>102</v>
      </c>
    </row>
    <row r="90" spans="1:27" ht="15.75" hidden="1" customHeight="1" x14ac:dyDescent="0.2">
      <c r="A90" s="19" t="s">
        <v>128</v>
      </c>
      <c r="B90" s="19" t="s">
        <v>84</v>
      </c>
      <c r="C90" s="19" t="s">
        <v>85</v>
      </c>
      <c r="D90" s="8" t="s">
        <v>86</v>
      </c>
      <c r="E90" s="9">
        <v>708419</v>
      </c>
      <c r="F90" s="9">
        <v>1059776</v>
      </c>
      <c r="G90" s="9">
        <v>9.5820299999999996</v>
      </c>
      <c r="H90" s="9">
        <v>-85.100996539999997</v>
      </c>
      <c r="I90" s="19">
        <v>78</v>
      </c>
      <c r="J90" s="19" t="s">
        <v>26</v>
      </c>
      <c r="K90" s="7"/>
      <c r="L90" s="7"/>
      <c r="M90" s="11">
        <f t="shared" si="3"/>
        <v>0</v>
      </c>
      <c r="N90" s="11">
        <f t="shared" si="1"/>
        <v>0</v>
      </c>
      <c r="O90" s="8"/>
      <c r="P90" s="8" t="s">
        <v>86</v>
      </c>
    </row>
    <row r="91" spans="1:27" ht="15.75" hidden="1" customHeight="1" x14ac:dyDescent="0.2">
      <c r="A91" s="19" t="s">
        <v>128</v>
      </c>
      <c r="B91" s="19" t="s">
        <v>84</v>
      </c>
      <c r="C91" s="19" t="s">
        <v>85</v>
      </c>
      <c r="D91" s="8" t="s">
        <v>90</v>
      </c>
      <c r="E91" s="9">
        <v>708997</v>
      </c>
      <c r="F91" s="9">
        <v>1060299</v>
      </c>
      <c r="G91" s="9">
        <v>9.5867290000000001</v>
      </c>
      <c r="H91" s="9">
        <v>-85.09570574</v>
      </c>
      <c r="I91" s="19">
        <v>116</v>
      </c>
      <c r="J91" s="19" t="s">
        <v>26</v>
      </c>
      <c r="K91" s="10">
        <v>43058</v>
      </c>
      <c r="L91" s="10">
        <v>43064</v>
      </c>
      <c r="M91" s="11">
        <f t="shared" si="3"/>
        <v>7</v>
      </c>
      <c r="N91" s="11">
        <f t="shared" si="1"/>
        <v>7</v>
      </c>
      <c r="O91" s="8" t="s">
        <v>129</v>
      </c>
      <c r="P91" s="8" t="s">
        <v>90</v>
      </c>
    </row>
    <row r="92" spans="1:27" ht="15.75" hidden="1" customHeight="1" x14ac:dyDescent="0.2">
      <c r="A92" s="19" t="s">
        <v>128</v>
      </c>
      <c r="B92" s="19" t="s">
        <v>84</v>
      </c>
      <c r="C92" s="19" t="s">
        <v>85</v>
      </c>
      <c r="D92" s="8" t="s">
        <v>92</v>
      </c>
      <c r="E92" s="9">
        <v>709195</v>
      </c>
      <c r="F92" s="9">
        <v>1060522</v>
      </c>
      <c r="G92" s="9">
        <v>9.5887349999999998</v>
      </c>
      <c r="H92" s="9">
        <v>-85.093891080000006</v>
      </c>
      <c r="I92" s="19">
        <v>63</v>
      </c>
      <c r="J92" s="19" t="s">
        <v>26</v>
      </c>
      <c r="K92" s="7"/>
      <c r="L92" s="7"/>
      <c r="M92" s="11">
        <f t="shared" si="3"/>
        <v>0</v>
      </c>
      <c r="N92" s="11">
        <f t="shared" si="1"/>
        <v>0</v>
      </c>
      <c r="O92" s="8"/>
      <c r="P92" s="8" t="s">
        <v>92</v>
      </c>
    </row>
    <row r="93" spans="1:27" ht="15.75" hidden="1" customHeight="1" x14ac:dyDescent="0.2">
      <c r="A93" s="19" t="s">
        <v>128</v>
      </c>
      <c r="B93" s="19" t="s">
        <v>84</v>
      </c>
      <c r="C93" s="19" t="s">
        <v>85</v>
      </c>
      <c r="D93" s="8" t="s">
        <v>95</v>
      </c>
      <c r="E93" s="9">
        <v>707540</v>
      </c>
      <c r="F93" s="9">
        <v>1059606</v>
      </c>
      <c r="G93" s="9">
        <v>9.5805369999999996</v>
      </c>
      <c r="H93" s="9">
        <v>-85.109011019999997</v>
      </c>
      <c r="I93" s="19">
        <v>276</v>
      </c>
      <c r="J93" s="19" t="s">
        <v>26</v>
      </c>
      <c r="K93" s="7"/>
      <c r="L93" s="7"/>
      <c r="M93" s="11">
        <f t="shared" si="3"/>
        <v>0</v>
      </c>
      <c r="N93" s="11">
        <f t="shared" si="1"/>
        <v>0</v>
      </c>
      <c r="O93" s="8"/>
      <c r="P93" s="8" t="s">
        <v>95</v>
      </c>
    </row>
    <row r="94" spans="1:27" ht="15.75" hidden="1" customHeight="1" x14ac:dyDescent="0.2">
      <c r="A94" s="19" t="s">
        <v>128</v>
      </c>
      <c r="B94" s="19" t="s">
        <v>84</v>
      </c>
      <c r="C94" s="19" t="s">
        <v>85</v>
      </c>
      <c r="D94" s="8" t="s">
        <v>96</v>
      </c>
      <c r="E94" s="9">
        <v>707080</v>
      </c>
      <c r="F94" s="9">
        <v>1059626</v>
      </c>
      <c r="G94" s="9">
        <v>9.5807409999999997</v>
      </c>
      <c r="H94" s="9">
        <v>-85.113199719999997</v>
      </c>
      <c r="I94" s="19">
        <v>321</v>
      </c>
      <c r="J94" s="19" t="s">
        <v>26</v>
      </c>
      <c r="K94" s="7"/>
      <c r="L94" s="7"/>
      <c r="M94" s="11">
        <f t="shared" si="3"/>
        <v>0</v>
      </c>
      <c r="N94" s="11">
        <f t="shared" si="1"/>
        <v>0</v>
      </c>
      <c r="O94" s="8"/>
      <c r="P94" s="8" t="s">
        <v>96</v>
      </c>
    </row>
    <row r="95" spans="1:27" ht="15.75" hidden="1" customHeight="1" x14ac:dyDescent="0.2">
      <c r="A95" s="19" t="s">
        <v>128</v>
      </c>
      <c r="B95" s="19" t="s">
        <v>84</v>
      </c>
      <c r="C95" s="19" t="s">
        <v>85</v>
      </c>
      <c r="D95" s="8" t="s">
        <v>102</v>
      </c>
      <c r="E95" s="9">
        <v>707420</v>
      </c>
      <c r="F95" s="9">
        <v>1060618</v>
      </c>
      <c r="G95" s="9">
        <v>9.5896910000000002</v>
      </c>
      <c r="H95" s="9">
        <v>-85.110053339999993</v>
      </c>
      <c r="I95" s="19">
        <v>195</v>
      </c>
      <c r="J95" s="19" t="s">
        <v>26</v>
      </c>
      <c r="K95" s="7"/>
      <c r="L95" s="7"/>
      <c r="M95" s="11">
        <f t="shared" si="3"/>
        <v>0</v>
      </c>
      <c r="N95" s="11">
        <f t="shared" si="1"/>
        <v>0</v>
      </c>
      <c r="O95" s="8"/>
      <c r="P95" s="8" t="s">
        <v>102</v>
      </c>
    </row>
    <row r="96" spans="1:27" ht="15.75" hidden="1" customHeight="1" x14ac:dyDescent="0.2">
      <c r="A96" s="19" t="s">
        <v>130</v>
      </c>
      <c r="B96" s="19" t="s">
        <v>84</v>
      </c>
      <c r="C96" s="19" t="s">
        <v>85</v>
      </c>
      <c r="D96" s="8" t="s">
        <v>96</v>
      </c>
      <c r="E96" s="9">
        <v>707080</v>
      </c>
      <c r="F96" s="9">
        <v>1059626</v>
      </c>
      <c r="G96" s="9">
        <v>9.5807409999999997</v>
      </c>
      <c r="H96" s="9">
        <v>-85.113199719999997</v>
      </c>
      <c r="I96" s="19">
        <v>321</v>
      </c>
      <c r="J96" s="19" t="s">
        <v>26</v>
      </c>
      <c r="K96" s="10">
        <v>42455</v>
      </c>
      <c r="L96" s="10">
        <v>42488</v>
      </c>
      <c r="M96" s="11">
        <v>20</v>
      </c>
      <c r="N96" s="11">
        <f t="shared" si="1"/>
        <v>34</v>
      </c>
      <c r="O96" s="8"/>
      <c r="P96" s="8" t="s">
        <v>96</v>
      </c>
    </row>
    <row r="97" spans="1:16" ht="15.75" hidden="1" customHeight="1" x14ac:dyDescent="0.2">
      <c r="A97" s="19" t="s">
        <v>130</v>
      </c>
      <c r="B97" s="19" t="s">
        <v>84</v>
      </c>
      <c r="C97" s="19" t="s">
        <v>85</v>
      </c>
      <c r="D97" s="8" t="s">
        <v>86</v>
      </c>
      <c r="E97" s="9">
        <v>708419</v>
      </c>
      <c r="F97" s="9">
        <v>1059776</v>
      </c>
      <c r="G97" s="9">
        <v>9.5820299999999996</v>
      </c>
      <c r="H97" s="9">
        <v>-85.100996539999997</v>
      </c>
      <c r="I97" s="19">
        <v>78</v>
      </c>
      <c r="J97" s="19" t="s">
        <v>26</v>
      </c>
      <c r="K97" s="10">
        <v>42467</v>
      </c>
      <c r="L97" s="10">
        <v>42496</v>
      </c>
      <c r="M97" s="11">
        <f t="shared" ref="M97:M119" si="4">IF(ISBLANK(K97),0,IF(ISBLANK(L97),0,L97-K97+1))</f>
        <v>30</v>
      </c>
      <c r="N97" s="11">
        <f t="shared" si="1"/>
        <v>30</v>
      </c>
      <c r="O97" s="8"/>
      <c r="P97" s="8" t="s">
        <v>86</v>
      </c>
    </row>
    <row r="98" spans="1:16" ht="15.75" hidden="1" customHeight="1" x14ac:dyDescent="0.2">
      <c r="A98" s="19" t="s">
        <v>130</v>
      </c>
      <c r="B98" s="19" t="s">
        <v>84</v>
      </c>
      <c r="C98" s="19" t="s">
        <v>85</v>
      </c>
      <c r="D98" s="8" t="s">
        <v>90</v>
      </c>
      <c r="E98" s="9">
        <v>708997</v>
      </c>
      <c r="F98" s="9">
        <v>1060299</v>
      </c>
      <c r="G98" s="9">
        <v>9.5867290000000001</v>
      </c>
      <c r="H98" s="9">
        <v>-85.09570574</v>
      </c>
      <c r="I98" s="19">
        <v>116</v>
      </c>
      <c r="J98" s="19" t="s">
        <v>26</v>
      </c>
      <c r="K98" s="10">
        <v>42454</v>
      </c>
      <c r="L98" s="10">
        <v>42459</v>
      </c>
      <c r="M98" s="11">
        <f t="shared" si="4"/>
        <v>6</v>
      </c>
      <c r="N98" s="11">
        <f t="shared" si="1"/>
        <v>6</v>
      </c>
      <c r="O98" s="8"/>
      <c r="P98" s="8" t="s">
        <v>90</v>
      </c>
    </row>
    <row r="99" spans="1:16" ht="15.75" hidden="1" customHeight="1" x14ac:dyDescent="0.2">
      <c r="A99" s="19" t="s">
        <v>130</v>
      </c>
      <c r="B99" s="19" t="s">
        <v>84</v>
      </c>
      <c r="C99" s="19" t="s">
        <v>85</v>
      </c>
      <c r="D99" s="8" t="s">
        <v>92</v>
      </c>
      <c r="E99" s="9">
        <v>709195</v>
      </c>
      <c r="F99" s="9">
        <v>1060522</v>
      </c>
      <c r="G99" s="9">
        <v>9.5887349999999998</v>
      </c>
      <c r="H99" s="9">
        <v>-85.093891080000006</v>
      </c>
      <c r="I99" s="19">
        <v>63</v>
      </c>
      <c r="J99" s="19" t="s">
        <v>26</v>
      </c>
      <c r="K99" s="10">
        <v>42450</v>
      </c>
      <c r="L99" s="10">
        <v>42497</v>
      </c>
      <c r="M99" s="11">
        <f t="shared" si="4"/>
        <v>48</v>
      </c>
      <c r="N99" s="11">
        <f t="shared" si="1"/>
        <v>48</v>
      </c>
      <c r="O99" s="8"/>
      <c r="P99" s="8" t="s">
        <v>92</v>
      </c>
    </row>
    <row r="100" spans="1:16" ht="15.75" hidden="1" customHeight="1" x14ac:dyDescent="0.2">
      <c r="A100" s="19" t="s">
        <v>130</v>
      </c>
      <c r="B100" s="19" t="s">
        <v>84</v>
      </c>
      <c r="C100" s="19" t="s">
        <v>85</v>
      </c>
      <c r="D100" s="8" t="s">
        <v>95</v>
      </c>
      <c r="E100" s="9">
        <v>707540</v>
      </c>
      <c r="F100" s="9">
        <v>1059606</v>
      </c>
      <c r="G100" s="9">
        <v>9.5805369999999996</v>
      </c>
      <c r="H100" s="9">
        <v>-85.109011019999997</v>
      </c>
      <c r="I100" s="19">
        <v>276</v>
      </c>
      <c r="J100" s="19" t="s">
        <v>26</v>
      </c>
      <c r="K100" s="10">
        <v>42469</v>
      </c>
      <c r="L100" s="10">
        <v>42510</v>
      </c>
      <c r="M100" s="11">
        <f t="shared" si="4"/>
        <v>42</v>
      </c>
      <c r="N100" s="11">
        <f t="shared" si="1"/>
        <v>42</v>
      </c>
      <c r="O100" s="8"/>
      <c r="P100" s="8" t="s">
        <v>95</v>
      </c>
    </row>
    <row r="101" spans="1:16" ht="15.75" hidden="1" customHeight="1" x14ac:dyDescent="0.2">
      <c r="A101" s="19" t="s">
        <v>130</v>
      </c>
      <c r="B101" s="19" t="s">
        <v>84</v>
      </c>
      <c r="C101" s="19" t="s">
        <v>85</v>
      </c>
      <c r="D101" s="8" t="s">
        <v>102</v>
      </c>
      <c r="E101" s="9">
        <v>707420</v>
      </c>
      <c r="F101" s="9">
        <v>1060618</v>
      </c>
      <c r="G101" s="9">
        <v>9.5896910000000002</v>
      </c>
      <c r="H101" s="9">
        <v>-85.110053339999993</v>
      </c>
      <c r="I101" s="19">
        <v>195</v>
      </c>
      <c r="J101" s="19" t="s">
        <v>26</v>
      </c>
      <c r="K101" s="10">
        <v>42461</v>
      </c>
      <c r="L101" s="10">
        <v>42518</v>
      </c>
      <c r="M101" s="11">
        <f t="shared" si="4"/>
        <v>58</v>
      </c>
      <c r="N101" s="11">
        <f t="shared" si="1"/>
        <v>58</v>
      </c>
      <c r="O101" s="8"/>
      <c r="P101" s="8" t="s">
        <v>102</v>
      </c>
    </row>
    <row r="102" spans="1:16" ht="15.75" hidden="1" customHeight="1" x14ac:dyDescent="0.2">
      <c r="A102" s="19" t="s">
        <v>131</v>
      </c>
      <c r="B102" s="19" t="s">
        <v>84</v>
      </c>
      <c r="C102" s="19" t="s">
        <v>85</v>
      </c>
      <c r="D102" s="8" t="s">
        <v>86</v>
      </c>
      <c r="E102" s="9">
        <v>708419</v>
      </c>
      <c r="F102" s="9">
        <v>1059776</v>
      </c>
      <c r="G102" s="9">
        <v>9.5820299999999996</v>
      </c>
      <c r="H102" s="9">
        <v>-85.100996539999997</v>
      </c>
      <c r="I102" s="19">
        <v>78</v>
      </c>
      <c r="J102" s="19" t="s">
        <v>26</v>
      </c>
      <c r="K102" s="7"/>
      <c r="L102" s="7"/>
      <c r="M102" s="11">
        <f t="shared" si="4"/>
        <v>0</v>
      </c>
      <c r="N102" s="11">
        <f t="shared" si="1"/>
        <v>0</v>
      </c>
      <c r="O102" s="8"/>
      <c r="P102" s="8" t="s">
        <v>86</v>
      </c>
    </row>
    <row r="103" spans="1:16" ht="15.75" hidden="1" customHeight="1" x14ac:dyDescent="0.2">
      <c r="A103" s="19" t="s">
        <v>131</v>
      </c>
      <c r="B103" s="19" t="s">
        <v>84</v>
      </c>
      <c r="C103" s="19" t="s">
        <v>85</v>
      </c>
      <c r="D103" s="8" t="s">
        <v>90</v>
      </c>
      <c r="E103" s="9">
        <v>708997</v>
      </c>
      <c r="F103" s="9">
        <v>1060299</v>
      </c>
      <c r="G103" s="9">
        <v>9.5867290000000001</v>
      </c>
      <c r="H103" s="9">
        <v>-85.09570574</v>
      </c>
      <c r="I103" s="19">
        <v>116</v>
      </c>
      <c r="J103" s="19" t="s">
        <v>26</v>
      </c>
      <c r="K103" s="7"/>
      <c r="L103" s="7"/>
      <c r="M103" s="11">
        <f t="shared" si="4"/>
        <v>0</v>
      </c>
      <c r="N103" s="11">
        <f t="shared" si="1"/>
        <v>0</v>
      </c>
      <c r="O103" s="8"/>
      <c r="P103" s="8" t="s">
        <v>90</v>
      </c>
    </row>
    <row r="104" spans="1:16" ht="15.75" hidden="1" customHeight="1" x14ac:dyDescent="0.2">
      <c r="A104" s="19" t="s">
        <v>131</v>
      </c>
      <c r="B104" s="19" t="s">
        <v>84</v>
      </c>
      <c r="C104" s="19" t="s">
        <v>85</v>
      </c>
      <c r="D104" s="8" t="s">
        <v>92</v>
      </c>
      <c r="E104" s="9">
        <v>709195</v>
      </c>
      <c r="F104" s="9">
        <v>1060522</v>
      </c>
      <c r="G104" s="9">
        <v>9.5887349999999998</v>
      </c>
      <c r="H104" s="9">
        <v>-85.093891080000006</v>
      </c>
      <c r="I104" s="19">
        <v>63</v>
      </c>
      <c r="J104" s="19" t="s">
        <v>26</v>
      </c>
      <c r="K104" s="7"/>
      <c r="L104" s="7"/>
      <c r="M104" s="11">
        <f t="shared" si="4"/>
        <v>0</v>
      </c>
      <c r="N104" s="11">
        <f t="shared" si="1"/>
        <v>0</v>
      </c>
      <c r="O104" s="8"/>
      <c r="P104" s="8" t="s">
        <v>92</v>
      </c>
    </row>
    <row r="105" spans="1:16" ht="15.75" hidden="1" customHeight="1" x14ac:dyDescent="0.2">
      <c r="A105" s="19" t="s">
        <v>131</v>
      </c>
      <c r="B105" s="19" t="s">
        <v>84</v>
      </c>
      <c r="C105" s="19" t="s">
        <v>85</v>
      </c>
      <c r="D105" s="8" t="s">
        <v>95</v>
      </c>
      <c r="E105" s="9">
        <v>707540</v>
      </c>
      <c r="F105" s="9">
        <v>1059606</v>
      </c>
      <c r="G105" s="9">
        <v>9.5805369999999996</v>
      </c>
      <c r="H105" s="9">
        <v>-85.109011019999997</v>
      </c>
      <c r="I105" s="19">
        <v>276</v>
      </c>
      <c r="J105" s="19" t="s">
        <v>26</v>
      </c>
      <c r="K105" s="7"/>
      <c r="L105" s="7"/>
      <c r="M105" s="11">
        <f t="shared" si="4"/>
        <v>0</v>
      </c>
      <c r="N105" s="11">
        <f t="shared" si="1"/>
        <v>0</v>
      </c>
      <c r="O105" s="8"/>
      <c r="P105" s="8" t="s">
        <v>95</v>
      </c>
    </row>
    <row r="106" spans="1:16" ht="15.75" hidden="1" customHeight="1" x14ac:dyDescent="0.2">
      <c r="A106" s="19" t="s">
        <v>131</v>
      </c>
      <c r="B106" s="19" t="s">
        <v>84</v>
      </c>
      <c r="C106" s="19" t="s">
        <v>85</v>
      </c>
      <c r="D106" s="8" t="s">
        <v>96</v>
      </c>
      <c r="E106" s="9">
        <v>707080</v>
      </c>
      <c r="F106" s="9">
        <v>1059626</v>
      </c>
      <c r="G106" s="9">
        <v>9.5807409999999997</v>
      </c>
      <c r="H106" s="9">
        <v>-85.113199719999997</v>
      </c>
      <c r="I106" s="19">
        <v>321</v>
      </c>
      <c r="J106" s="19" t="s">
        <v>26</v>
      </c>
      <c r="K106" s="7"/>
      <c r="L106" s="7"/>
      <c r="M106" s="11">
        <f t="shared" si="4"/>
        <v>0</v>
      </c>
      <c r="N106" s="11">
        <f t="shared" si="1"/>
        <v>0</v>
      </c>
      <c r="O106" s="8"/>
      <c r="P106" s="8" t="s">
        <v>96</v>
      </c>
    </row>
    <row r="107" spans="1:16" ht="15.75" hidden="1" customHeight="1" x14ac:dyDescent="0.2">
      <c r="A107" s="19" t="s">
        <v>131</v>
      </c>
      <c r="B107" s="19" t="s">
        <v>84</v>
      </c>
      <c r="C107" s="19" t="s">
        <v>85</v>
      </c>
      <c r="D107" s="8" t="s">
        <v>102</v>
      </c>
      <c r="E107" s="9">
        <v>707420</v>
      </c>
      <c r="F107" s="9">
        <v>1060618</v>
      </c>
      <c r="G107" s="9">
        <v>9.5896910000000002</v>
      </c>
      <c r="H107" s="9">
        <v>-85.110053339999993</v>
      </c>
      <c r="I107" s="19">
        <v>195</v>
      </c>
      <c r="J107" s="19" t="s">
        <v>26</v>
      </c>
      <c r="K107" s="7"/>
      <c r="L107" s="7"/>
      <c r="M107" s="11">
        <f t="shared" si="4"/>
        <v>0</v>
      </c>
      <c r="N107" s="11">
        <f t="shared" si="1"/>
        <v>0</v>
      </c>
      <c r="O107" s="8"/>
      <c r="P107" s="8" t="s">
        <v>102</v>
      </c>
    </row>
    <row r="108" spans="1:16" ht="15.75" hidden="1" customHeight="1" x14ac:dyDescent="0.2">
      <c r="A108" s="19" t="s">
        <v>132</v>
      </c>
      <c r="B108" s="19" t="s">
        <v>84</v>
      </c>
      <c r="C108" s="19" t="s">
        <v>85</v>
      </c>
      <c r="D108" s="8" t="s">
        <v>86</v>
      </c>
      <c r="E108" s="9">
        <v>708419</v>
      </c>
      <c r="F108" s="9">
        <v>1059776</v>
      </c>
      <c r="G108" s="9">
        <v>9.5820299999999996</v>
      </c>
      <c r="H108" s="9">
        <v>-85.100996539999997</v>
      </c>
      <c r="I108" s="19">
        <v>78</v>
      </c>
      <c r="J108" s="19" t="s">
        <v>26</v>
      </c>
      <c r="K108" s="7"/>
      <c r="L108" s="7"/>
      <c r="M108" s="11">
        <f t="shared" si="4"/>
        <v>0</v>
      </c>
      <c r="N108" s="11">
        <f t="shared" si="1"/>
        <v>0</v>
      </c>
      <c r="O108" s="8"/>
      <c r="P108" s="8" t="s">
        <v>86</v>
      </c>
    </row>
    <row r="109" spans="1:16" ht="15.75" hidden="1" customHeight="1" x14ac:dyDescent="0.2">
      <c r="A109" s="19" t="s">
        <v>132</v>
      </c>
      <c r="B109" s="19" t="s">
        <v>84</v>
      </c>
      <c r="C109" s="19" t="s">
        <v>85</v>
      </c>
      <c r="D109" s="8" t="s">
        <v>90</v>
      </c>
      <c r="E109" s="9">
        <v>708997</v>
      </c>
      <c r="F109" s="9">
        <v>1060299</v>
      </c>
      <c r="G109" s="9">
        <v>9.5867290000000001</v>
      </c>
      <c r="H109" s="9">
        <v>-85.09570574</v>
      </c>
      <c r="I109" s="19">
        <v>116</v>
      </c>
      <c r="J109" s="19" t="s">
        <v>26</v>
      </c>
      <c r="K109" s="7"/>
      <c r="L109" s="7"/>
      <c r="M109" s="11">
        <f t="shared" si="4"/>
        <v>0</v>
      </c>
      <c r="N109" s="11">
        <f t="shared" si="1"/>
        <v>0</v>
      </c>
      <c r="O109" s="8"/>
      <c r="P109" s="8" t="s">
        <v>90</v>
      </c>
    </row>
    <row r="110" spans="1:16" ht="15.75" hidden="1" customHeight="1" x14ac:dyDescent="0.2">
      <c r="A110" s="19" t="s">
        <v>132</v>
      </c>
      <c r="B110" s="19" t="s">
        <v>84</v>
      </c>
      <c r="C110" s="19" t="s">
        <v>85</v>
      </c>
      <c r="D110" s="8" t="s">
        <v>92</v>
      </c>
      <c r="E110" s="9">
        <v>709195</v>
      </c>
      <c r="F110" s="9">
        <v>1060522</v>
      </c>
      <c r="G110" s="9">
        <v>9.5887349999999998</v>
      </c>
      <c r="H110" s="9">
        <v>-85.093891080000006</v>
      </c>
      <c r="I110" s="19">
        <v>63</v>
      </c>
      <c r="J110" s="19" t="s">
        <v>26</v>
      </c>
      <c r="K110" s="7"/>
      <c r="L110" s="7"/>
      <c r="M110" s="11">
        <f t="shared" si="4"/>
        <v>0</v>
      </c>
      <c r="N110" s="11">
        <f t="shared" si="1"/>
        <v>0</v>
      </c>
      <c r="O110" s="8"/>
      <c r="P110" s="8" t="s">
        <v>92</v>
      </c>
    </row>
    <row r="111" spans="1:16" ht="15.75" hidden="1" customHeight="1" x14ac:dyDescent="0.2">
      <c r="A111" s="19" t="s">
        <v>132</v>
      </c>
      <c r="B111" s="19" t="s">
        <v>84</v>
      </c>
      <c r="C111" s="19" t="s">
        <v>85</v>
      </c>
      <c r="D111" s="8" t="s">
        <v>95</v>
      </c>
      <c r="E111" s="9">
        <v>707540</v>
      </c>
      <c r="F111" s="9">
        <v>1059606</v>
      </c>
      <c r="G111" s="9">
        <v>9.5805369999999996</v>
      </c>
      <c r="H111" s="9">
        <v>-85.109011019999997</v>
      </c>
      <c r="I111" s="19">
        <v>276</v>
      </c>
      <c r="J111" s="19" t="s">
        <v>26</v>
      </c>
      <c r="K111" s="7"/>
      <c r="L111" s="7"/>
      <c r="M111" s="11">
        <f t="shared" si="4"/>
        <v>0</v>
      </c>
      <c r="N111" s="11">
        <f t="shared" si="1"/>
        <v>0</v>
      </c>
      <c r="O111" s="8"/>
      <c r="P111" s="8" t="s">
        <v>95</v>
      </c>
    </row>
    <row r="112" spans="1:16" ht="15.75" hidden="1" customHeight="1" x14ac:dyDescent="0.2">
      <c r="A112" s="19" t="s">
        <v>132</v>
      </c>
      <c r="B112" s="19" t="s">
        <v>84</v>
      </c>
      <c r="C112" s="19" t="s">
        <v>85</v>
      </c>
      <c r="D112" s="8" t="s">
        <v>96</v>
      </c>
      <c r="E112" s="9">
        <v>707080</v>
      </c>
      <c r="F112" s="9">
        <v>1059626</v>
      </c>
      <c r="G112" s="9">
        <v>9.5807409999999997</v>
      </c>
      <c r="H112" s="9">
        <v>-85.113199719999997</v>
      </c>
      <c r="I112" s="19">
        <v>321</v>
      </c>
      <c r="J112" s="19" t="s">
        <v>26</v>
      </c>
      <c r="K112" s="7"/>
      <c r="L112" s="7"/>
      <c r="M112" s="11">
        <f t="shared" si="4"/>
        <v>0</v>
      </c>
      <c r="N112" s="11">
        <f t="shared" si="1"/>
        <v>0</v>
      </c>
      <c r="O112" s="8"/>
      <c r="P112" s="8" t="s">
        <v>96</v>
      </c>
    </row>
    <row r="113" spans="1:16" ht="15.75" hidden="1" customHeight="1" x14ac:dyDescent="0.2">
      <c r="A113" s="19" t="s">
        <v>132</v>
      </c>
      <c r="B113" s="19" t="s">
        <v>84</v>
      </c>
      <c r="C113" s="19" t="s">
        <v>85</v>
      </c>
      <c r="D113" s="8" t="s">
        <v>102</v>
      </c>
      <c r="E113" s="9">
        <v>707420</v>
      </c>
      <c r="F113" s="9">
        <v>1060618</v>
      </c>
      <c r="G113" s="9">
        <v>9.5896910000000002</v>
      </c>
      <c r="H113" s="9">
        <v>-85.110053339999993</v>
      </c>
      <c r="I113" s="19">
        <v>195</v>
      </c>
      <c r="J113" s="19" t="s">
        <v>26</v>
      </c>
      <c r="K113" s="7"/>
      <c r="L113" s="7"/>
      <c r="M113" s="11">
        <f t="shared" si="4"/>
        <v>0</v>
      </c>
      <c r="N113" s="11">
        <f t="shared" si="1"/>
        <v>0</v>
      </c>
      <c r="O113" s="8"/>
      <c r="P113" s="8" t="s">
        <v>102</v>
      </c>
    </row>
    <row r="114" spans="1:16" ht="15.75" hidden="1" customHeight="1" x14ac:dyDescent="0.2">
      <c r="A114" s="19" t="s">
        <v>133</v>
      </c>
      <c r="B114" s="19" t="s">
        <v>84</v>
      </c>
      <c r="C114" s="19" t="s">
        <v>85</v>
      </c>
      <c r="D114" s="8" t="s">
        <v>86</v>
      </c>
      <c r="E114" s="9">
        <v>708419</v>
      </c>
      <c r="F114" s="9">
        <v>1059776</v>
      </c>
      <c r="G114" s="9">
        <v>9.5820299999999996</v>
      </c>
      <c r="H114" s="9">
        <v>-85.100997000000007</v>
      </c>
      <c r="I114" s="19">
        <v>78</v>
      </c>
      <c r="J114" s="19" t="s">
        <v>26</v>
      </c>
      <c r="K114" s="10">
        <v>42202</v>
      </c>
      <c r="L114" s="10">
        <v>42234</v>
      </c>
      <c r="M114" s="11">
        <f t="shared" si="4"/>
        <v>33</v>
      </c>
      <c r="N114" s="11">
        <f t="shared" si="1"/>
        <v>33</v>
      </c>
      <c r="O114" s="8"/>
      <c r="P114" s="8" t="s">
        <v>86</v>
      </c>
    </row>
    <row r="115" spans="1:16" ht="15.75" hidden="1" customHeight="1" x14ac:dyDescent="0.2">
      <c r="A115" s="19" t="s">
        <v>133</v>
      </c>
      <c r="B115" s="19" t="s">
        <v>84</v>
      </c>
      <c r="C115" s="19" t="s">
        <v>85</v>
      </c>
      <c r="D115" s="8" t="s">
        <v>90</v>
      </c>
      <c r="E115" s="9">
        <v>708997</v>
      </c>
      <c r="F115" s="9">
        <v>1060299</v>
      </c>
      <c r="G115" s="9">
        <v>9.5867290000000001</v>
      </c>
      <c r="H115" s="9">
        <v>-85.09570574</v>
      </c>
      <c r="I115" s="19">
        <v>116</v>
      </c>
      <c r="J115" s="19" t="s">
        <v>26</v>
      </c>
      <c r="K115" s="10">
        <v>42202</v>
      </c>
      <c r="L115" s="10">
        <v>42234</v>
      </c>
      <c r="M115" s="11">
        <f t="shared" si="4"/>
        <v>33</v>
      </c>
      <c r="N115" s="11">
        <f t="shared" si="1"/>
        <v>33</v>
      </c>
      <c r="O115" s="8"/>
      <c r="P115" s="8" t="s">
        <v>90</v>
      </c>
    </row>
    <row r="116" spans="1:16" ht="15.75" hidden="1" customHeight="1" x14ac:dyDescent="0.2">
      <c r="A116" s="19" t="s">
        <v>133</v>
      </c>
      <c r="B116" s="19" t="s">
        <v>84</v>
      </c>
      <c r="C116" s="19" t="s">
        <v>85</v>
      </c>
      <c r="D116" s="8" t="s">
        <v>92</v>
      </c>
      <c r="E116" s="9">
        <v>709195</v>
      </c>
      <c r="F116" s="9">
        <v>1060522</v>
      </c>
      <c r="G116" s="9">
        <v>9.5887349999999998</v>
      </c>
      <c r="H116" s="9">
        <v>-85.093891080000006</v>
      </c>
      <c r="I116" s="19">
        <v>63</v>
      </c>
      <c r="J116" s="19" t="s">
        <v>26</v>
      </c>
      <c r="K116" s="10">
        <v>42203</v>
      </c>
      <c r="L116" s="10">
        <v>42234</v>
      </c>
      <c r="M116" s="11">
        <f t="shared" si="4"/>
        <v>32</v>
      </c>
      <c r="N116" s="11">
        <f t="shared" si="1"/>
        <v>32</v>
      </c>
      <c r="O116" s="8"/>
      <c r="P116" s="8" t="s">
        <v>92</v>
      </c>
    </row>
    <row r="117" spans="1:16" ht="15.75" hidden="1" customHeight="1" x14ac:dyDescent="0.2">
      <c r="A117" s="19" t="s">
        <v>133</v>
      </c>
      <c r="B117" s="19" t="s">
        <v>84</v>
      </c>
      <c r="C117" s="19" t="s">
        <v>85</v>
      </c>
      <c r="D117" s="8" t="s">
        <v>95</v>
      </c>
      <c r="E117" s="9">
        <v>707540</v>
      </c>
      <c r="F117" s="9">
        <v>1059606</v>
      </c>
      <c r="G117" s="9">
        <v>9.5805369999999996</v>
      </c>
      <c r="H117" s="9">
        <v>-85.109011019999997</v>
      </c>
      <c r="I117" s="19">
        <v>276</v>
      </c>
      <c r="J117" s="19" t="s">
        <v>26</v>
      </c>
      <c r="K117" s="10">
        <v>42203</v>
      </c>
      <c r="L117" s="10">
        <v>42234</v>
      </c>
      <c r="M117" s="11">
        <f t="shared" si="4"/>
        <v>32</v>
      </c>
      <c r="N117" s="11">
        <f t="shared" si="1"/>
        <v>32</v>
      </c>
      <c r="O117" s="8"/>
      <c r="P117" s="8" t="s">
        <v>95</v>
      </c>
    </row>
    <row r="118" spans="1:16" ht="15.75" hidden="1" customHeight="1" x14ac:dyDescent="0.2">
      <c r="A118" s="19" t="s">
        <v>133</v>
      </c>
      <c r="B118" s="19" t="s">
        <v>84</v>
      </c>
      <c r="C118" s="19" t="s">
        <v>85</v>
      </c>
      <c r="D118" s="8" t="s">
        <v>96</v>
      </c>
      <c r="E118" s="9">
        <v>707080</v>
      </c>
      <c r="F118" s="9">
        <v>1059626</v>
      </c>
      <c r="G118" s="9">
        <v>9.5807409999999997</v>
      </c>
      <c r="H118" s="9">
        <v>-85.113199719999997</v>
      </c>
      <c r="I118" s="19">
        <v>321</v>
      </c>
      <c r="J118" s="19" t="s">
        <v>26</v>
      </c>
      <c r="K118" s="10">
        <v>42203</v>
      </c>
      <c r="L118" s="10">
        <v>42234</v>
      </c>
      <c r="M118" s="11">
        <f t="shared" si="4"/>
        <v>32</v>
      </c>
      <c r="N118" s="11">
        <f t="shared" si="1"/>
        <v>32</v>
      </c>
      <c r="O118" s="8"/>
      <c r="P118" s="8" t="s">
        <v>96</v>
      </c>
    </row>
    <row r="119" spans="1:16" ht="15.75" hidden="1" customHeight="1" x14ac:dyDescent="0.2">
      <c r="A119" s="19" t="s">
        <v>133</v>
      </c>
      <c r="B119" s="19" t="s">
        <v>84</v>
      </c>
      <c r="C119" s="19" t="s">
        <v>85</v>
      </c>
      <c r="D119" s="8" t="s">
        <v>102</v>
      </c>
      <c r="E119" s="9">
        <v>707420</v>
      </c>
      <c r="F119" s="9">
        <v>1060618</v>
      </c>
      <c r="G119" s="9">
        <v>9.5896910000000002</v>
      </c>
      <c r="H119" s="9">
        <v>-85.110053339999993</v>
      </c>
      <c r="I119" s="19">
        <v>195</v>
      </c>
      <c r="J119" s="19" t="s">
        <v>26</v>
      </c>
      <c r="K119" s="10">
        <v>42203</v>
      </c>
      <c r="L119" s="10">
        <v>42234</v>
      </c>
      <c r="M119" s="11">
        <f t="shared" si="4"/>
        <v>32</v>
      </c>
      <c r="N119" s="11">
        <f t="shared" si="1"/>
        <v>32</v>
      </c>
      <c r="O119" s="8"/>
      <c r="P119" s="8" t="s">
        <v>102</v>
      </c>
    </row>
    <row r="120" spans="1:16" ht="15.75" hidden="1" customHeight="1" x14ac:dyDescent="0.2">
      <c r="A120" s="19" t="s">
        <v>134</v>
      </c>
      <c r="B120" s="19" t="s">
        <v>84</v>
      </c>
      <c r="C120" s="19" t="s">
        <v>85</v>
      </c>
      <c r="D120" s="8" t="s">
        <v>102</v>
      </c>
      <c r="E120" s="9">
        <v>707420</v>
      </c>
      <c r="F120" s="9">
        <v>1060618</v>
      </c>
      <c r="G120" s="9">
        <v>9.5896910000000002</v>
      </c>
      <c r="H120" s="9">
        <v>-85.110052999999994</v>
      </c>
      <c r="I120" s="19">
        <v>195</v>
      </c>
      <c r="J120" s="19" t="s">
        <v>26</v>
      </c>
      <c r="K120" s="10">
        <v>42519</v>
      </c>
      <c r="L120" s="10">
        <v>42632</v>
      </c>
      <c r="M120" s="11">
        <v>93</v>
      </c>
      <c r="N120" s="11">
        <f t="shared" si="1"/>
        <v>114</v>
      </c>
      <c r="O120" s="8"/>
      <c r="P120" s="8" t="s">
        <v>102</v>
      </c>
    </row>
    <row r="121" spans="1:16" ht="15.75" hidden="1" customHeight="1" x14ac:dyDescent="0.2">
      <c r="A121" s="19" t="s">
        <v>134</v>
      </c>
      <c r="B121" s="19" t="s">
        <v>84</v>
      </c>
      <c r="C121" s="19" t="s">
        <v>85</v>
      </c>
      <c r="D121" s="8" t="s">
        <v>86</v>
      </c>
      <c r="E121" s="9">
        <v>708419</v>
      </c>
      <c r="F121" s="9">
        <v>1059776</v>
      </c>
      <c r="G121" s="9">
        <v>9.5820299999999996</v>
      </c>
      <c r="H121" s="9">
        <v>-85.100997000000007</v>
      </c>
      <c r="I121" s="19">
        <v>78</v>
      </c>
      <c r="J121" s="19" t="s">
        <v>26</v>
      </c>
      <c r="K121" s="10">
        <v>42513</v>
      </c>
      <c r="L121" s="10">
        <v>42630</v>
      </c>
      <c r="M121" s="11">
        <v>101</v>
      </c>
      <c r="N121" s="11">
        <f t="shared" si="1"/>
        <v>118</v>
      </c>
      <c r="O121" s="8"/>
      <c r="P121" s="8" t="s">
        <v>86</v>
      </c>
    </row>
    <row r="122" spans="1:16" ht="15.75" hidden="1" customHeight="1" x14ac:dyDescent="0.2">
      <c r="A122" s="19" t="s">
        <v>134</v>
      </c>
      <c r="B122" s="19" t="s">
        <v>84</v>
      </c>
      <c r="C122" s="19" t="s">
        <v>85</v>
      </c>
      <c r="D122" s="8" t="s">
        <v>90</v>
      </c>
      <c r="E122" s="9">
        <v>708997</v>
      </c>
      <c r="F122" s="9">
        <v>1060299</v>
      </c>
      <c r="G122" s="9">
        <v>9.5867290000000001</v>
      </c>
      <c r="H122" s="9">
        <v>-85.095706000000007</v>
      </c>
      <c r="I122" s="19">
        <v>116</v>
      </c>
      <c r="J122" s="19" t="s">
        <v>26</v>
      </c>
      <c r="K122" s="10">
        <v>42511</v>
      </c>
      <c r="L122" s="10">
        <v>42633</v>
      </c>
      <c r="M122" s="11">
        <f t="shared" ref="M122:M173" si="5">IF(ISBLANK(K122),0,IF(ISBLANK(L122),0,L122-K122+1))</f>
        <v>123</v>
      </c>
      <c r="N122" s="11">
        <f t="shared" si="1"/>
        <v>123</v>
      </c>
      <c r="O122" s="8"/>
      <c r="P122" s="8" t="s">
        <v>90</v>
      </c>
    </row>
    <row r="123" spans="1:16" ht="15.75" hidden="1" customHeight="1" x14ac:dyDescent="0.2">
      <c r="A123" s="19" t="s">
        <v>134</v>
      </c>
      <c r="B123" s="19" t="s">
        <v>84</v>
      </c>
      <c r="C123" s="19" t="s">
        <v>85</v>
      </c>
      <c r="D123" s="8" t="s">
        <v>92</v>
      </c>
      <c r="E123" s="9">
        <v>709195</v>
      </c>
      <c r="F123" s="9">
        <v>1060522</v>
      </c>
      <c r="G123" s="9">
        <v>9.5887349999999998</v>
      </c>
      <c r="H123" s="9">
        <v>-85.093890999999999</v>
      </c>
      <c r="I123" s="19">
        <v>63</v>
      </c>
      <c r="J123" s="19" t="s">
        <v>26</v>
      </c>
      <c r="K123" s="10">
        <v>42510</v>
      </c>
      <c r="L123" s="10">
        <v>42610</v>
      </c>
      <c r="M123" s="11">
        <f t="shared" si="5"/>
        <v>101</v>
      </c>
      <c r="N123" s="11">
        <f t="shared" si="1"/>
        <v>101</v>
      </c>
      <c r="O123" s="8"/>
      <c r="P123" s="8" t="s">
        <v>92</v>
      </c>
    </row>
    <row r="124" spans="1:16" ht="15.75" hidden="1" customHeight="1" x14ac:dyDescent="0.2">
      <c r="A124" s="19" t="s">
        <v>134</v>
      </c>
      <c r="B124" s="19" t="s">
        <v>84</v>
      </c>
      <c r="C124" s="19" t="s">
        <v>85</v>
      </c>
      <c r="D124" s="8" t="s">
        <v>95</v>
      </c>
      <c r="E124" s="9">
        <v>707540</v>
      </c>
      <c r="F124" s="9">
        <v>1059606</v>
      </c>
      <c r="G124" s="9">
        <v>9.5805369999999996</v>
      </c>
      <c r="H124" s="9">
        <v>-85.109010999999995</v>
      </c>
      <c r="I124" s="19">
        <v>276</v>
      </c>
      <c r="J124" s="19" t="s">
        <v>26</v>
      </c>
      <c r="K124" s="10">
        <v>42511</v>
      </c>
      <c r="L124" s="10">
        <v>42542</v>
      </c>
      <c r="M124" s="11">
        <f t="shared" si="5"/>
        <v>32</v>
      </c>
      <c r="N124" s="11">
        <f t="shared" si="1"/>
        <v>32</v>
      </c>
      <c r="O124" s="8"/>
      <c r="P124" s="8" t="s">
        <v>95</v>
      </c>
    </row>
    <row r="125" spans="1:16" ht="15.75" hidden="1" customHeight="1" x14ac:dyDescent="0.2">
      <c r="A125" s="19" t="s">
        <v>134</v>
      </c>
      <c r="B125" s="7" t="s">
        <v>84</v>
      </c>
      <c r="C125" s="19" t="s">
        <v>85</v>
      </c>
      <c r="D125" s="8" t="s">
        <v>96</v>
      </c>
      <c r="E125" s="9">
        <v>707080</v>
      </c>
      <c r="F125" s="9">
        <v>1059626</v>
      </c>
      <c r="G125" s="9">
        <v>9.5807409999999997</v>
      </c>
      <c r="H125" s="9">
        <v>-85.113200000000006</v>
      </c>
      <c r="I125" s="19">
        <v>321</v>
      </c>
      <c r="J125" s="19" t="s">
        <v>26</v>
      </c>
      <c r="K125" s="10">
        <v>42518</v>
      </c>
      <c r="L125" s="10">
        <v>42534</v>
      </c>
      <c r="M125" s="11">
        <f t="shared" si="5"/>
        <v>17</v>
      </c>
      <c r="N125" s="11">
        <f t="shared" si="1"/>
        <v>17</v>
      </c>
      <c r="O125" s="8"/>
      <c r="P125" s="8" t="s">
        <v>96</v>
      </c>
    </row>
    <row r="126" spans="1:16" ht="15.75" hidden="1" customHeight="1" x14ac:dyDescent="0.2">
      <c r="A126" s="14" t="s">
        <v>135</v>
      </c>
      <c r="B126" s="14" t="s">
        <v>136</v>
      </c>
      <c r="C126" s="14" t="s">
        <v>137</v>
      </c>
      <c r="D126" s="15" t="s">
        <v>138</v>
      </c>
      <c r="E126" s="16">
        <v>216187</v>
      </c>
      <c r="F126" s="16">
        <v>1055367</v>
      </c>
      <c r="G126" s="16">
        <v>9.5377519999999993</v>
      </c>
      <c r="H126" s="16">
        <v>-83.585234</v>
      </c>
      <c r="I126" s="14">
        <v>2938</v>
      </c>
      <c r="J126" s="14" t="s">
        <v>26</v>
      </c>
      <c r="K126" s="17">
        <v>43545</v>
      </c>
      <c r="L126" s="17">
        <v>43654</v>
      </c>
      <c r="M126" s="18">
        <f t="shared" si="5"/>
        <v>110</v>
      </c>
      <c r="N126" s="11">
        <f t="shared" si="1"/>
        <v>110</v>
      </c>
      <c r="O126" s="15" t="s">
        <v>139</v>
      </c>
      <c r="P126" s="15" t="s">
        <v>138</v>
      </c>
    </row>
    <row r="127" spans="1:16" ht="15.75" hidden="1" customHeight="1" x14ac:dyDescent="0.2">
      <c r="A127" s="14" t="s">
        <v>135</v>
      </c>
      <c r="B127" s="14" t="s">
        <v>136</v>
      </c>
      <c r="C127" s="14" t="s">
        <v>137</v>
      </c>
      <c r="D127" s="15" t="s">
        <v>140</v>
      </c>
      <c r="E127" s="16">
        <v>215945</v>
      </c>
      <c r="F127" s="16">
        <v>1054548</v>
      </c>
      <c r="G127" s="16">
        <v>9.5303400000000007</v>
      </c>
      <c r="H127" s="16">
        <v>-83.587379999999996</v>
      </c>
      <c r="I127" s="14">
        <v>2694</v>
      </c>
      <c r="J127" s="14" t="s">
        <v>26</v>
      </c>
      <c r="K127" s="14"/>
      <c r="L127" s="14"/>
      <c r="M127" s="18">
        <f t="shared" si="5"/>
        <v>0</v>
      </c>
      <c r="N127" s="11">
        <f t="shared" si="1"/>
        <v>0</v>
      </c>
      <c r="O127" s="15" t="s">
        <v>141</v>
      </c>
      <c r="P127" s="15" t="s">
        <v>140</v>
      </c>
    </row>
    <row r="128" spans="1:16" ht="15.75" hidden="1" customHeight="1" x14ac:dyDescent="0.2">
      <c r="A128" s="14" t="s">
        <v>135</v>
      </c>
      <c r="B128" s="14" t="s">
        <v>136</v>
      </c>
      <c r="C128" s="14" t="s">
        <v>142</v>
      </c>
      <c r="D128" s="15" t="s">
        <v>143</v>
      </c>
      <c r="E128" s="16">
        <v>221549</v>
      </c>
      <c r="F128" s="16">
        <v>1045193</v>
      </c>
      <c r="G128" s="16">
        <v>9.4461829999999996</v>
      </c>
      <c r="H128" s="16">
        <v>-83.535749999999993</v>
      </c>
      <c r="I128" s="14">
        <v>2858</v>
      </c>
      <c r="J128" s="14" t="s">
        <v>20</v>
      </c>
      <c r="K128" s="14"/>
      <c r="L128" s="14"/>
      <c r="M128" s="18">
        <f t="shared" si="5"/>
        <v>0</v>
      </c>
      <c r="N128" s="11">
        <f t="shared" si="1"/>
        <v>0</v>
      </c>
      <c r="O128" s="15" t="s">
        <v>141</v>
      </c>
      <c r="P128" s="15" t="s">
        <v>143</v>
      </c>
    </row>
    <row r="129" spans="1:16" ht="15.75" hidden="1" customHeight="1" x14ac:dyDescent="0.2">
      <c r="A129" s="14" t="s">
        <v>135</v>
      </c>
      <c r="B129" s="14" t="s">
        <v>136</v>
      </c>
      <c r="C129" s="14" t="s">
        <v>142</v>
      </c>
      <c r="D129" s="15" t="s">
        <v>144</v>
      </c>
      <c r="E129" s="16">
        <v>222460</v>
      </c>
      <c r="F129" s="16">
        <v>1044781</v>
      </c>
      <c r="G129" s="16">
        <v>9.4425170000000005</v>
      </c>
      <c r="H129" s="16">
        <v>-83.527433000000002</v>
      </c>
      <c r="I129" s="14">
        <v>3107</v>
      </c>
      <c r="J129" s="14" t="s">
        <v>20</v>
      </c>
      <c r="K129" s="17"/>
      <c r="L129" s="17"/>
      <c r="M129" s="18">
        <f t="shared" si="5"/>
        <v>0</v>
      </c>
      <c r="N129" s="11">
        <f t="shared" si="1"/>
        <v>0</v>
      </c>
      <c r="O129" s="15" t="s">
        <v>141</v>
      </c>
      <c r="P129" s="15" t="s">
        <v>144</v>
      </c>
    </row>
    <row r="130" spans="1:16" ht="15.75" hidden="1" customHeight="1" x14ac:dyDescent="0.2">
      <c r="A130" s="14" t="s">
        <v>135</v>
      </c>
      <c r="B130" s="14" t="s">
        <v>136</v>
      </c>
      <c r="C130" s="14" t="s">
        <v>137</v>
      </c>
      <c r="D130" s="15" t="s">
        <v>145</v>
      </c>
      <c r="E130" s="16">
        <v>218882</v>
      </c>
      <c r="F130" s="16">
        <v>1054826</v>
      </c>
      <c r="G130" s="16">
        <v>9.5330499999999994</v>
      </c>
      <c r="H130" s="16">
        <v>-83.560666999999995</v>
      </c>
      <c r="I130" s="14">
        <v>3265</v>
      </c>
      <c r="J130" s="14" t="s">
        <v>26</v>
      </c>
      <c r="K130" s="14"/>
      <c r="L130" s="14"/>
      <c r="M130" s="18">
        <f t="shared" si="5"/>
        <v>0</v>
      </c>
      <c r="N130" s="11">
        <f t="shared" si="1"/>
        <v>0</v>
      </c>
      <c r="O130" s="15" t="s">
        <v>141</v>
      </c>
      <c r="P130" s="15" t="s">
        <v>145</v>
      </c>
    </row>
    <row r="131" spans="1:16" ht="15.75" hidden="1" customHeight="1" x14ac:dyDescent="0.2">
      <c r="A131" s="14" t="s">
        <v>135</v>
      </c>
      <c r="B131" s="14" t="s">
        <v>136</v>
      </c>
      <c r="C131" s="14" t="s">
        <v>146</v>
      </c>
      <c r="D131" s="15" t="s">
        <v>147</v>
      </c>
      <c r="E131" s="16">
        <v>224433</v>
      </c>
      <c r="F131" s="16">
        <v>1043313</v>
      </c>
      <c r="G131" s="16">
        <v>9.4293829999999996</v>
      </c>
      <c r="H131" s="16">
        <v>-83.509383</v>
      </c>
      <c r="I131" s="14">
        <v>3113</v>
      </c>
      <c r="J131" s="14" t="s">
        <v>26</v>
      </c>
      <c r="K131" s="14"/>
      <c r="L131" s="14"/>
      <c r="M131" s="18">
        <f t="shared" si="5"/>
        <v>0</v>
      </c>
      <c r="N131" s="11">
        <f t="shared" si="1"/>
        <v>0</v>
      </c>
      <c r="O131" s="15" t="s">
        <v>141</v>
      </c>
      <c r="P131" s="15" t="s">
        <v>147</v>
      </c>
    </row>
    <row r="132" spans="1:16" ht="15.75" hidden="1" customHeight="1" x14ac:dyDescent="0.2">
      <c r="A132" s="14" t="s">
        <v>135</v>
      </c>
      <c r="B132" s="14" t="s">
        <v>136</v>
      </c>
      <c r="C132" s="14" t="s">
        <v>146</v>
      </c>
      <c r="D132" s="15" t="s">
        <v>148</v>
      </c>
      <c r="E132" s="16">
        <v>224828</v>
      </c>
      <c r="F132" s="16">
        <v>1045786</v>
      </c>
      <c r="G132" s="16">
        <v>9.4517500000000005</v>
      </c>
      <c r="H132" s="16">
        <v>-83.505949999999999</v>
      </c>
      <c r="I132" s="14">
        <v>3365</v>
      </c>
      <c r="J132" s="14" t="s">
        <v>26</v>
      </c>
      <c r="K132" s="14"/>
      <c r="L132" s="14"/>
      <c r="M132" s="18">
        <f t="shared" si="5"/>
        <v>0</v>
      </c>
      <c r="N132" s="11">
        <f t="shared" si="1"/>
        <v>0</v>
      </c>
      <c r="O132" s="15" t="s">
        <v>141</v>
      </c>
      <c r="P132" s="15" t="s">
        <v>148</v>
      </c>
    </row>
    <row r="133" spans="1:16" ht="15.75" hidden="1" customHeight="1" x14ac:dyDescent="0.2">
      <c r="A133" s="14" t="s">
        <v>135</v>
      </c>
      <c r="B133" s="14" t="s">
        <v>136</v>
      </c>
      <c r="C133" s="14" t="s">
        <v>149</v>
      </c>
      <c r="D133" s="15" t="s">
        <v>150</v>
      </c>
      <c r="E133" s="16">
        <v>225708</v>
      </c>
      <c r="F133" s="16">
        <v>1038833</v>
      </c>
      <c r="G133" s="16">
        <v>9.3875829999999993</v>
      </c>
      <c r="H133" s="16">
        <v>-83.492982999999995</v>
      </c>
      <c r="I133" s="14">
        <v>2243</v>
      </c>
      <c r="J133" s="14" t="s">
        <v>26</v>
      </c>
      <c r="K133" s="14"/>
      <c r="L133" s="14"/>
      <c r="M133" s="18">
        <f t="shared" si="5"/>
        <v>0</v>
      </c>
      <c r="N133" s="11">
        <f t="shared" si="1"/>
        <v>0</v>
      </c>
      <c r="O133" s="15" t="s">
        <v>141</v>
      </c>
      <c r="P133" s="15" t="s">
        <v>151</v>
      </c>
    </row>
    <row r="134" spans="1:16" ht="15.75" hidden="1" customHeight="1" x14ac:dyDescent="0.2">
      <c r="A134" s="14" t="s">
        <v>135</v>
      </c>
      <c r="B134" s="14" t="s">
        <v>136</v>
      </c>
      <c r="C134" s="14" t="s">
        <v>149</v>
      </c>
      <c r="D134" s="15" t="s">
        <v>152</v>
      </c>
      <c r="E134" s="16">
        <v>225594</v>
      </c>
      <c r="F134" s="16">
        <v>1039301</v>
      </c>
      <c r="G134" s="16">
        <v>9.3932000000000002</v>
      </c>
      <c r="H134" s="16">
        <v>-83.498549999999994</v>
      </c>
      <c r="I134" s="14">
        <v>2494</v>
      </c>
      <c r="J134" s="14" t="s">
        <v>26</v>
      </c>
      <c r="K134" s="14"/>
      <c r="L134" s="14"/>
      <c r="M134" s="18">
        <f t="shared" si="5"/>
        <v>0</v>
      </c>
      <c r="N134" s="11">
        <f t="shared" si="1"/>
        <v>0</v>
      </c>
      <c r="O134" s="15" t="s">
        <v>141</v>
      </c>
      <c r="P134" s="15" t="s">
        <v>152</v>
      </c>
    </row>
    <row r="135" spans="1:16" ht="15.75" hidden="1" customHeight="1" x14ac:dyDescent="0.2">
      <c r="A135" s="14" t="s">
        <v>135</v>
      </c>
      <c r="B135" s="14" t="s">
        <v>136</v>
      </c>
      <c r="C135" s="14" t="s">
        <v>146</v>
      </c>
      <c r="D135" s="15" t="s">
        <v>153</v>
      </c>
      <c r="E135" s="16">
        <v>224968</v>
      </c>
      <c r="F135" s="16">
        <v>1040580</v>
      </c>
      <c r="G135" s="16">
        <v>9.4047169999999998</v>
      </c>
      <c r="H135" s="16">
        <v>-83.504333000000003</v>
      </c>
      <c r="I135" s="14">
        <v>3029</v>
      </c>
      <c r="J135" s="14" t="s">
        <v>26</v>
      </c>
      <c r="K135" s="17">
        <v>43467</v>
      </c>
      <c r="L135" s="17">
        <v>43531</v>
      </c>
      <c r="M135" s="18">
        <f t="shared" si="5"/>
        <v>65</v>
      </c>
      <c r="N135" s="11">
        <f t="shared" si="1"/>
        <v>65</v>
      </c>
      <c r="O135" s="15" t="s">
        <v>154</v>
      </c>
      <c r="P135" s="15" t="s">
        <v>153</v>
      </c>
    </row>
    <row r="136" spans="1:16" ht="15.75" hidden="1" customHeight="1" x14ac:dyDescent="0.2">
      <c r="A136" s="14" t="s">
        <v>135</v>
      </c>
      <c r="B136" s="14" t="s">
        <v>136</v>
      </c>
      <c r="C136" s="14" t="s">
        <v>146</v>
      </c>
      <c r="D136" s="15" t="s">
        <v>153</v>
      </c>
      <c r="E136" s="16">
        <v>224968</v>
      </c>
      <c r="F136" s="16">
        <v>1040580</v>
      </c>
      <c r="G136" s="16">
        <v>9.4047169999999998</v>
      </c>
      <c r="H136" s="16">
        <v>-83.504333000000003</v>
      </c>
      <c r="I136" s="14">
        <v>3029</v>
      </c>
      <c r="J136" s="14" t="s">
        <v>26</v>
      </c>
      <c r="K136" s="17">
        <v>43467</v>
      </c>
      <c r="L136" s="17">
        <v>43570</v>
      </c>
      <c r="M136" s="18">
        <f t="shared" si="5"/>
        <v>104</v>
      </c>
      <c r="N136" s="11">
        <f t="shared" si="1"/>
        <v>104</v>
      </c>
      <c r="O136" s="15" t="s">
        <v>155</v>
      </c>
      <c r="P136" s="15" t="s">
        <v>153</v>
      </c>
    </row>
    <row r="137" spans="1:16" ht="15.75" hidden="1" customHeight="1" x14ac:dyDescent="0.2">
      <c r="A137" s="14" t="s">
        <v>135</v>
      </c>
      <c r="B137" s="14" t="s">
        <v>136</v>
      </c>
      <c r="C137" s="14" t="s">
        <v>156</v>
      </c>
      <c r="D137" s="15" t="s">
        <v>157</v>
      </c>
      <c r="E137" s="16">
        <v>554363</v>
      </c>
      <c r="F137" s="16">
        <v>1045708</v>
      </c>
      <c r="G137" s="16">
        <v>9.4596400000000003</v>
      </c>
      <c r="H137" s="16">
        <v>-80.504769999999994</v>
      </c>
      <c r="I137" s="14"/>
      <c r="J137" s="14" t="s">
        <v>26</v>
      </c>
      <c r="K137" s="14"/>
      <c r="L137" s="14"/>
      <c r="M137" s="18">
        <f t="shared" si="5"/>
        <v>0</v>
      </c>
      <c r="N137" s="11">
        <f t="shared" si="1"/>
        <v>0</v>
      </c>
      <c r="O137" s="15" t="s">
        <v>141</v>
      </c>
      <c r="P137" s="15" t="s">
        <v>157</v>
      </c>
    </row>
    <row r="138" spans="1:16" ht="15.75" hidden="1" customHeight="1" x14ac:dyDescent="0.2">
      <c r="A138" s="14" t="s">
        <v>135</v>
      </c>
      <c r="B138" s="14" t="s">
        <v>136</v>
      </c>
      <c r="C138" s="14" t="s">
        <v>156</v>
      </c>
      <c r="D138" s="15" t="s">
        <v>158</v>
      </c>
      <c r="E138" s="16">
        <v>554363</v>
      </c>
      <c r="F138" s="16">
        <v>1045708</v>
      </c>
      <c r="G138" s="16">
        <v>9.4596400000000003</v>
      </c>
      <c r="H138" s="16">
        <v>-80.504769999999994</v>
      </c>
      <c r="I138" s="14"/>
      <c r="J138" s="14" t="s">
        <v>26</v>
      </c>
      <c r="K138" s="14"/>
      <c r="L138" s="14"/>
      <c r="M138" s="18">
        <f t="shared" si="5"/>
        <v>0</v>
      </c>
      <c r="N138" s="11">
        <f t="shared" si="1"/>
        <v>0</v>
      </c>
      <c r="O138" s="15" t="s">
        <v>141</v>
      </c>
      <c r="P138" s="15" t="s">
        <v>158</v>
      </c>
    </row>
    <row r="139" spans="1:16" ht="15.75" hidden="1" customHeight="1" x14ac:dyDescent="0.2">
      <c r="A139" s="14" t="s">
        <v>135</v>
      </c>
      <c r="B139" s="14" t="s">
        <v>136</v>
      </c>
      <c r="C139" s="14" t="s">
        <v>156</v>
      </c>
      <c r="D139" s="15" t="s">
        <v>159</v>
      </c>
      <c r="E139" s="16">
        <v>554363</v>
      </c>
      <c r="F139" s="16">
        <v>1045708</v>
      </c>
      <c r="G139" s="16">
        <v>9.4596400000000003</v>
      </c>
      <c r="H139" s="16">
        <v>-80.504769999999994</v>
      </c>
      <c r="I139" s="14"/>
      <c r="J139" s="14" t="s">
        <v>26</v>
      </c>
      <c r="K139" s="14"/>
      <c r="L139" s="14"/>
      <c r="M139" s="18">
        <f t="shared" si="5"/>
        <v>0</v>
      </c>
      <c r="N139" s="11">
        <f t="shared" si="1"/>
        <v>0</v>
      </c>
      <c r="O139" s="15" t="s">
        <v>141</v>
      </c>
      <c r="P139" s="15" t="s">
        <v>159</v>
      </c>
    </row>
    <row r="140" spans="1:16" ht="15.75" hidden="1" customHeight="1" x14ac:dyDescent="0.2">
      <c r="A140" s="20" t="s">
        <v>135</v>
      </c>
      <c r="B140" s="20" t="s">
        <v>136</v>
      </c>
      <c r="C140" s="20" t="s">
        <v>137</v>
      </c>
      <c r="D140" s="21" t="s">
        <v>138</v>
      </c>
      <c r="E140" s="22">
        <v>216187</v>
      </c>
      <c r="F140" s="22">
        <v>1055367</v>
      </c>
      <c r="G140" s="22">
        <v>9.5377519999999993</v>
      </c>
      <c r="H140" s="22">
        <v>-83.585234</v>
      </c>
      <c r="I140" s="20">
        <v>2938</v>
      </c>
      <c r="J140" s="20" t="s">
        <v>26</v>
      </c>
      <c r="K140" s="23"/>
      <c r="L140" s="23"/>
      <c r="M140" s="24">
        <f t="shared" si="5"/>
        <v>0</v>
      </c>
      <c r="N140" s="11">
        <f t="shared" si="1"/>
        <v>0</v>
      </c>
      <c r="O140" s="25"/>
      <c r="P140" s="21" t="s">
        <v>138</v>
      </c>
    </row>
    <row r="141" spans="1:16" ht="15.75" hidden="1" customHeight="1" x14ac:dyDescent="0.2">
      <c r="A141" s="20" t="s">
        <v>135</v>
      </c>
      <c r="B141" s="20" t="s">
        <v>136</v>
      </c>
      <c r="C141" s="20" t="s">
        <v>137</v>
      </c>
      <c r="D141" s="15" t="s">
        <v>140</v>
      </c>
      <c r="E141" s="22">
        <v>215945</v>
      </c>
      <c r="F141" s="22">
        <v>1054548</v>
      </c>
      <c r="G141" s="22">
        <v>9.5303400000000007</v>
      </c>
      <c r="H141" s="22">
        <v>-83.587379999999996</v>
      </c>
      <c r="I141" s="20">
        <v>2694</v>
      </c>
      <c r="J141" s="20" t="s">
        <v>26</v>
      </c>
      <c r="K141" s="20"/>
      <c r="L141" s="20"/>
      <c r="M141" s="24">
        <f t="shared" si="5"/>
        <v>0</v>
      </c>
      <c r="N141" s="11">
        <f t="shared" si="1"/>
        <v>0</v>
      </c>
      <c r="O141" s="25"/>
      <c r="P141" s="21" t="s">
        <v>140</v>
      </c>
    </row>
    <row r="142" spans="1:16" ht="15.75" hidden="1" customHeight="1" x14ac:dyDescent="0.2">
      <c r="A142" s="20" t="s">
        <v>135</v>
      </c>
      <c r="B142" s="20" t="s">
        <v>136</v>
      </c>
      <c r="C142" s="20" t="s">
        <v>142</v>
      </c>
      <c r="D142" s="21" t="s">
        <v>143</v>
      </c>
      <c r="E142" s="22">
        <v>221549</v>
      </c>
      <c r="F142" s="22">
        <v>1045193</v>
      </c>
      <c r="G142" s="22">
        <v>9.4461829999999996</v>
      </c>
      <c r="H142" s="22">
        <v>-83.535749999999993</v>
      </c>
      <c r="I142" s="20">
        <v>2858</v>
      </c>
      <c r="J142" s="20" t="s">
        <v>20</v>
      </c>
      <c r="K142" s="20"/>
      <c r="L142" s="20"/>
      <c r="M142" s="24">
        <f t="shared" si="5"/>
        <v>0</v>
      </c>
      <c r="N142" s="11">
        <f t="shared" si="1"/>
        <v>0</v>
      </c>
      <c r="O142" s="25"/>
      <c r="P142" s="21" t="s">
        <v>143</v>
      </c>
    </row>
    <row r="143" spans="1:16" ht="15.75" hidden="1" customHeight="1" x14ac:dyDescent="0.2">
      <c r="A143" s="20" t="s">
        <v>135</v>
      </c>
      <c r="B143" s="20" t="s">
        <v>136</v>
      </c>
      <c r="C143" s="20" t="s">
        <v>142</v>
      </c>
      <c r="D143" s="21" t="s">
        <v>144</v>
      </c>
      <c r="E143" s="22">
        <v>222460</v>
      </c>
      <c r="F143" s="22">
        <v>1044781</v>
      </c>
      <c r="G143" s="22">
        <v>9.4425170000000005</v>
      </c>
      <c r="H143" s="22">
        <v>-83.527433000000002</v>
      </c>
      <c r="I143" s="20">
        <v>3107</v>
      </c>
      <c r="J143" s="20" t="s">
        <v>20</v>
      </c>
      <c r="K143" s="23"/>
      <c r="L143" s="23"/>
      <c r="M143" s="24">
        <f t="shared" si="5"/>
        <v>0</v>
      </c>
      <c r="N143" s="11">
        <f t="shared" si="1"/>
        <v>0</v>
      </c>
      <c r="O143" s="25"/>
      <c r="P143" s="21" t="s">
        <v>144</v>
      </c>
    </row>
    <row r="144" spans="1:16" ht="15.75" hidden="1" customHeight="1" x14ac:dyDescent="0.2">
      <c r="A144" s="20" t="s">
        <v>135</v>
      </c>
      <c r="B144" s="20" t="s">
        <v>136</v>
      </c>
      <c r="C144" s="20" t="s">
        <v>137</v>
      </c>
      <c r="D144" s="15" t="s">
        <v>145</v>
      </c>
      <c r="E144" s="22">
        <v>218882</v>
      </c>
      <c r="F144" s="22">
        <v>1054826</v>
      </c>
      <c r="G144" s="22">
        <v>9.5330499999999994</v>
      </c>
      <c r="H144" s="22">
        <v>-83.560666999999995</v>
      </c>
      <c r="I144" s="20">
        <v>3265</v>
      </c>
      <c r="J144" s="20" t="s">
        <v>26</v>
      </c>
      <c r="K144" s="20"/>
      <c r="L144" s="20"/>
      <c r="M144" s="24">
        <f t="shared" si="5"/>
        <v>0</v>
      </c>
      <c r="N144" s="11">
        <f t="shared" si="1"/>
        <v>0</v>
      </c>
      <c r="O144" s="25"/>
      <c r="P144" s="21" t="s">
        <v>145</v>
      </c>
    </row>
    <row r="145" spans="1:16" ht="15.75" hidden="1" customHeight="1" x14ac:dyDescent="0.2">
      <c r="A145" s="20" t="s">
        <v>135</v>
      </c>
      <c r="B145" s="20" t="s">
        <v>136</v>
      </c>
      <c r="C145" s="20" t="s">
        <v>146</v>
      </c>
      <c r="D145" s="21" t="s">
        <v>147</v>
      </c>
      <c r="E145" s="22">
        <v>224433</v>
      </c>
      <c r="F145" s="22">
        <v>1043313</v>
      </c>
      <c r="G145" s="22">
        <v>9.4293829999999996</v>
      </c>
      <c r="H145" s="22">
        <v>-83.509383</v>
      </c>
      <c r="I145" s="20">
        <v>3113</v>
      </c>
      <c r="J145" s="20" t="s">
        <v>26</v>
      </c>
      <c r="K145" s="20"/>
      <c r="L145" s="20"/>
      <c r="M145" s="24">
        <f t="shared" si="5"/>
        <v>0</v>
      </c>
      <c r="N145" s="11">
        <f t="shared" si="1"/>
        <v>0</v>
      </c>
      <c r="O145" s="25"/>
      <c r="P145" s="21" t="s">
        <v>147</v>
      </c>
    </row>
    <row r="146" spans="1:16" ht="15.75" hidden="1" customHeight="1" x14ac:dyDescent="0.2">
      <c r="A146" s="20" t="s">
        <v>135</v>
      </c>
      <c r="B146" s="20" t="s">
        <v>136</v>
      </c>
      <c r="C146" s="20" t="s">
        <v>146</v>
      </c>
      <c r="D146" s="21" t="s">
        <v>148</v>
      </c>
      <c r="E146" s="22">
        <v>224828</v>
      </c>
      <c r="F146" s="22">
        <v>1045786</v>
      </c>
      <c r="G146" s="22">
        <v>9.4517500000000005</v>
      </c>
      <c r="H146" s="22">
        <v>-83.505949999999999</v>
      </c>
      <c r="I146" s="20">
        <v>3365</v>
      </c>
      <c r="J146" s="20" t="s">
        <v>26</v>
      </c>
      <c r="K146" s="20"/>
      <c r="L146" s="20"/>
      <c r="M146" s="24">
        <f t="shared" si="5"/>
        <v>0</v>
      </c>
      <c r="N146" s="11">
        <f t="shared" si="1"/>
        <v>0</v>
      </c>
      <c r="O146" s="25"/>
      <c r="P146" s="21" t="s">
        <v>148</v>
      </c>
    </row>
    <row r="147" spans="1:16" ht="15.75" hidden="1" customHeight="1" x14ac:dyDescent="0.2">
      <c r="A147" s="20" t="s">
        <v>135</v>
      </c>
      <c r="B147" s="20" t="s">
        <v>136</v>
      </c>
      <c r="C147" s="20" t="s">
        <v>149</v>
      </c>
      <c r="D147" s="15" t="s">
        <v>150</v>
      </c>
      <c r="E147" s="22">
        <v>225708</v>
      </c>
      <c r="F147" s="22">
        <v>1038833</v>
      </c>
      <c r="G147" s="22">
        <v>9.3875829999999993</v>
      </c>
      <c r="H147" s="22">
        <v>-83.492982999999995</v>
      </c>
      <c r="I147" s="20">
        <v>2243</v>
      </c>
      <c r="J147" s="20"/>
      <c r="K147" s="20"/>
      <c r="L147" s="20"/>
      <c r="M147" s="24">
        <f t="shared" si="5"/>
        <v>0</v>
      </c>
      <c r="N147" s="11">
        <f t="shared" si="1"/>
        <v>0</v>
      </c>
      <c r="O147" s="25"/>
      <c r="P147" s="21" t="s">
        <v>151</v>
      </c>
    </row>
    <row r="148" spans="1:16" ht="15.75" hidden="1" customHeight="1" x14ac:dyDescent="0.2">
      <c r="A148" s="20" t="s">
        <v>135</v>
      </c>
      <c r="B148" s="20" t="s">
        <v>136</v>
      </c>
      <c r="C148" s="20" t="s">
        <v>149</v>
      </c>
      <c r="D148" s="21" t="s">
        <v>152</v>
      </c>
      <c r="E148" s="22">
        <v>225594</v>
      </c>
      <c r="F148" s="22">
        <v>1039301</v>
      </c>
      <c r="G148" s="22">
        <v>9.3932000000000002</v>
      </c>
      <c r="H148" s="22">
        <v>-83.498549999999994</v>
      </c>
      <c r="I148" s="20">
        <v>2494</v>
      </c>
      <c r="J148" s="20" t="s">
        <v>37</v>
      </c>
      <c r="K148" s="20"/>
      <c r="L148" s="20"/>
      <c r="M148" s="24">
        <f t="shared" si="5"/>
        <v>0</v>
      </c>
      <c r="N148" s="11">
        <f t="shared" si="1"/>
        <v>0</v>
      </c>
      <c r="O148" s="25"/>
      <c r="P148" s="21" t="s">
        <v>152</v>
      </c>
    </row>
    <row r="149" spans="1:16" ht="15.75" hidden="1" customHeight="1" x14ac:dyDescent="0.2">
      <c r="A149" s="20" t="s">
        <v>135</v>
      </c>
      <c r="B149" s="20" t="s">
        <v>136</v>
      </c>
      <c r="C149" s="20" t="s">
        <v>146</v>
      </c>
      <c r="D149" s="21" t="s">
        <v>153</v>
      </c>
      <c r="E149" s="22">
        <v>224968</v>
      </c>
      <c r="F149" s="22">
        <v>1040580</v>
      </c>
      <c r="G149" s="22">
        <v>9.4047169999999998</v>
      </c>
      <c r="H149" s="22">
        <v>-83.504333000000003</v>
      </c>
      <c r="I149" s="20">
        <v>3029</v>
      </c>
      <c r="J149" s="20" t="s">
        <v>26</v>
      </c>
      <c r="K149" s="23"/>
      <c r="L149" s="23"/>
      <c r="M149" s="24">
        <f t="shared" si="5"/>
        <v>0</v>
      </c>
      <c r="N149" s="11">
        <f t="shared" si="1"/>
        <v>0</v>
      </c>
      <c r="O149" s="25"/>
      <c r="P149" s="21" t="s">
        <v>153</v>
      </c>
    </row>
    <row r="150" spans="1:16" ht="15.75" hidden="1" customHeight="1" x14ac:dyDescent="0.2">
      <c r="A150" s="20" t="s">
        <v>135</v>
      </c>
      <c r="B150" s="20" t="s">
        <v>136</v>
      </c>
      <c r="C150" s="20" t="s">
        <v>146</v>
      </c>
      <c r="D150" s="21" t="s">
        <v>153</v>
      </c>
      <c r="E150" s="22">
        <v>224968</v>
      </c>
      <c r="F150" s="22">
        <v>1040580</v>
      </c>
      <c r="G150" s="22">
        <v>9.4047169999999998</v>
      </c>
      <c r="H150" s="22">
        <v>-83.504333000000003</v>
      </c>
      <c r="I150" s="20">
        <v>3029</v>
      </c>
      <c r="J150" s="20" t="s">
        <v>26</v>
      </c>
      <c r="K150" s="23"/>
      <c r="L150" s="23"/>
      <c r="M150" s="24">
        <f t="shared" si="5"/>
        <v>0</v>
      </c>
      <c r="N150" s="11">
        <f t="shared" si="1"/>
        <v>0</v>
      </c>
      <c r="O150" s="25"/>
      <c r="P150" s="21" t="s">
        <v>153</v>
      </c>
    </row>
    <row r="151" spans="1:16" ht="15.75" hidden="1" customHeight="1" x14ac:dyDescent="0.2">
      <c r="A151" s="20" t="s">
        <v>135</v>
      </c>
      <c r="B151" s="20" t="s">
        <v>136</v>
      </c>
      <c r="C151" s="20" t="s">
        <v>37</v>
      </c>
      <c r="D151" s="21" t="s">
        <v>160</v>
      </c>
      <c r="E151" s="22"/>
      <c r="F151" s="22"/>
      <c r="G151" s="22"/>
      <c r="H151" s="22"/>
      <c r="I151" s="20"/>
      <c r="J151" s="20"/>
      <c r="K151" s="23"/>
      <c r="L151" s="23"/>
      <c r="M151" s="24">
        <f t="shared" si="5"/>
        <v>0</v>
      </c>
      <c r="N151" s="11">
        <f t="shared" si="1"/>
        <v>0</v>
      </c>
      <c r="O151" s="25"/>
      <c r="P151" s="21" t="s">
        <v>160</v>
      </c>
    </row>
    <row r="152" spans="1:16" ht="15.75" hidden="1" customHeight="1" x14ac:dyDescent="0.2">
      <c r="A152" s="20" t="s">
        <v>135</v>
      </c>
      <c r="B152" s="20" t="s">
        <v>136</v>
      </c>
      <c r="C152" s="20" t="s">
        <v>156</v>
      </c>
      <c r="D152" s="21" t="s">
        <v>157</v>
      </c>
      <c r="E152" s="22">
        <v>554363</v>
      </c>
      <c r="F152" s="22">
        <v>1045708</v>
      </c>
      <c r="G152" s="22">
        <v>9.4596400000000003</v>
      </c>
      <c r="H152" s="22">
        <v>-80.504769999999994</v>
      </c>
      <c r="I152" s="20"/>
      <c r="J152" s="20" t="s">
        <v>26</v>
      </c>
      <c r="K152" s="20"/>
      <c r="L152" s="20"/>
      <c r="M152" s="24">
        <f t="shared" si="5"/>
        <v>0</v>
      </c>
      <c r="N152" s="11">
        <f t="shared" si="1"/>
        <v>0</v>
      </c>
      <c r="O152" s="25"/>
      <c r="P152" s="21" t="s">
        <v>157</v>
      </c>
    </row>
    <row r="153" spans="1:16" ht="15.75" hidden="1" customHeight="1" x14ac:dyDescent="0.2">
      <c r="A153" s="20" t="s">
        <v>135</v>
      </c>
      <c r="B153" s="20" t="s">
        <v>136</v>
      </c>
      <c r="C153" s="20" t="s">
        <v>156</v>
      </c>
      <c r="D153" s="21" t="s">
        <v>158</v>
      </c>
      <c r="E153" s="22">
        <v>554363</v>
      </c>
      <c r="F153" s="22">
        <v>1045708</v>
      </c>
      <c r="G153" s="22">
        <v>9.4596400000000003</v>
      </c>
      <c r="H153" s="22">
        <v>-80.504769999999994</v>
      </c>
      <c r="I153" s="20"/>
      <c r="J153" s="20" t="s">
        <v>26</v>
      </c>
      <c r="K153" s="20"/>
      <c r="L153" s="20"/>
      <c r="M153" s="24">
        <f t="shared" si="5"/>
        <v>0</v>
      </c>
      <c r="N153" s="11">
        <f t="shared" si="1"/>
        <v>0</v>
      </c>
      <c r="O153" s="25"/>
      <c r="P153" s="21" t="s">
        <v>158</v>
      </c>
    </row>
    <row r="154" spans="1:16" ht="15.75" hidden="1" customHeight="1" x14ac:dyDescent="0.2">
      <c r="A154" s="20" t="s">
        <v>135</v>
      </c>
      <c r="B154" s="20" t="s">
        <v>136</v>
      </c>
      <c r="C154" s="20" t="s">
        <v>156</v>
      </c>
      <c r="D154" s="21" t="s">
        <v>159</v>
      </c>
      <c r="E154" s="22">
        <v>554363</v>
      </c>
      <c r="F154" s="22">
        <v>1045708</v>
      </c>
      <c r="G154" s="22">
        <v>9.4596400000000003</v>
      </c>
      <c r="H154" s="22">
        <v>-80.504769999999994</v>
      </c>
      <c r="I154" s="20"/>
      <c r="J154" s="20" t="s">
        <v>26</v>
      </c>
      <c r="K154" s="20"/>
      <c r="L154" s="20"/>
      <c r="M154" s="24">
        <f t="shared" si="5"/>
        <v>0</v>
      </c>
      <c r="N154" s="11">
        <f t="shared" si="1"/>
        <v>0</v>
      </c>
      <c r="O154" s="25"/>
      <c r="P154" s="21" t="s">
        <v>159</v>
      </c>
    </row>
    <row r="155" spans="1:16" ht="15" hidden="1" customHeight="1" x14ac:dyDescent="0.2">
      <c r="A155" s="19" t="s">
        <v>61</v>
      </c>
      <c r="B155" s="19" t="s">
        <v>136</v>
      </c>
      <c r="C155" s="19" t="s">
        <v>142</v>
      </c>
      <c r="D155" s="8" t="s">
        <v>161</v>
      </c>
      <c r="E155" s="9">
        <v>218685</v>
      </c>
      <c r="F155" s="9">
        <v>1046732</v>
      </c>
      <c r="G155" s="9">
        <v>9.4598999999999993</v>
      </c>
      <c r="H155" s="9">
        <v>-83.561916999999994</v>
      </c>
      <c r="I155" s="19">
        <v>2308</v>
      </c>
      <c r="J155" s="19" t="s">
        <v>20</v>
      </c>
      <c r="K155" s="10">
        <v>41131</v>
      </c>
      <c r="L155" s="10">
        <v>41236</v>
      </c>
      <c r="M155" s="11">
        <f t="shared" si="5"/>
        <v>106</v>
      </c>
      <c r="N155" s="11">
        <f t="shared" si="1"/>
        <v>106</v>
      </c>
      <c r="O155" s="8"/>
      <c r="P155" s="8" t="s">
        <v>138</v>
      </c>
    </row>
    <row r="156" spans="1:16" ht="15.75" hidden="1" customHeight="1" x14ac:dyDescent="0.2">
      <c r="A156" s="19" t="s">
        <v>61</v>
      </c>
      <c r="B156" s="19" t="s">
        <v>136</v>
      </c>
      <c r="C156" s="19" t="s">
        <v>142</v>
      </c>
      <c r="D156" s="8" t="s">
        <v>162</v>
      </c>
      <c r="E156" s="9">
        <v>220217</v>
      </c>
      <c r="F156" s="9">
        <v>1046347</v>
      </c>
      <c r="G156" s="9">
        <v>9.4565169999999998</v>
      </c>
      <c r="H156" s="9">
        <v>-83.54795</v>
      </c>
      <c r="I156" s="19">
        <v>2490</v>
      </c>
      <c r="J156" s="19" t="s">
        <v>20</v>
      </c>
      <c r="K156" s="10">
        <v>41136</v>
      </c>
      <c r="L156" s="10">
        <v>41229</v>
      </c>
      <c r="M156" s="11">
        <f t="shared" si="5"/>
        <v>94</v>
      </c>
      <c r="N156" s="11">
        <f t="shared" si="1"/>
        <v>94</v>
      </c>
      <c r="O156" s="8"/>
      <c r="P156" s="8" t="s">
        <v>140</v>
      </c>
    </row>
    <row r="157" spans="1:16" ht="15.75" hidden="1" customHeight="1" x14ac:dyDescent="0.2">
      <c r="A157" s="19" t="s">
        <v>61</v>
      </c>
      <c r="B157" s="19" t="s">
        <v>136</v>
      </c>
      <c r="C157" s="19" t="s">
        <v>142</v>
      </c>
      <c r="D157" s="8" t="s">
        <v>143</v>
      </c>
      <c r="E157" s="9">
        <v>221549</v>
      </c>
      <c r="F157" s="9">
        <v>1045193</v>
      </c>
      <c r="G157" s="9">
        <v>9.4461829999999996</v>
      </c>
      <c r="H157" s="9">
        <v>-83.535749999999993</v>
      </c>
      <c r="I157" s="19">
        <v>2858</v>
      </c>
      <c r="J157" s="19" t="s">
        <v>20</v>
      </c>
      <c r="K157" s="10">
        <v>41140</v>
      </c>
      <c r="L157" s="10">
        <v>41222</v>
      </c>
      <c r="M157" s="11">
        <f t="shared" si="5"/>
        <v>83</v>
      </c>
      <c r="N157" s="11">
        <f t="shared" si="1"/>
        <v>83</v>
      </c>
      <c r="O157" s="8"/>
      <c r="P157" s="8" t="s">
        <v>143</v>
      </c>
    </row>
    <row r="158" spans="1:16" ht="15.75" hidden="1" customHeight="1" x14ac:dyDescent="0.2">
      <c r="A158" s="19" t="s">
        <v>61</v>
      </c>
      <c r="B158" s="7" t="s">
        <v>136</v>
      </c>
      <c r="C158" s="19" t="s">
        <v>142</v>
      </c>
      <c r="D158" s="8" t="s">
        <v>144</v>
      </c>
      <c r="E158" s="9">
        <v>224460</v>
      </c>
      <c r="F158" s="9">
        <v>1044781</v>
      </c>
      <c r="G158" s="9">
        <v>9.4425170000000005</v>
      </c>
      <c r="H158" s="9">
        <v>-83.527433000000002</v>
      </c>
      <c r="I158" s="19">
        <v>3107</v>
      </c>
      <c r="J158" s="19" t="s">
        <v>20</v>
      </c>
      <c r="K158" s="10">
        <v>41131</v>
      </c>
      <c r="L158" s="10">
        <v>41234</v>
      </c>
      <c r="M158" s="11">
        <f t="shared" si="5"/>
        <v>104</v>
      </c>
      <c r="N158" s="11">
        <f t="shared" si="1"/>
        <v>104</v>
      </c>
      <c r="O158" s="8"/>
      <c r="P158" s="8" t="s">
        <v>144</v>
      </c>
    </row>
    <row r="159" spans="1:16" ht="15.75" hidden="1" customHeight="1" x14ac:dyDescent="0.2">
      <c r="A159" s="19" t="s">
        <v>61</v>
      </c>
      <c r="B159" s="7" t="s">
        <v>136</v>
      </c>
      <c r="C159" s="19" t="s">
        <v>146</v>
      </c>
      <c r="D159" s="8" t="s">
        <v>148</v>
      </c>
      <c r="E159" s="9">
        <v>224828</v>
      </c>
      <c r="F159" s="9">
        <v>1045786</v>
      </c>
      <c r="G159" s="9">
        <v>9.4517500000000005</v>
      </c>
      <c r="H159" s="9">
        <v>-83.505949999999999</v>
      </c>
      <c r="I159" s="19">
        <v>3365</v>
      </c>
      <c r="J159" s="19" t="s">
        <v>26</v>
      </c>
      <c r="K159" s="10">
        <v>41131</v>
      </c>
      <c r="L159" s="10">
        <v>41247</v>
      </c>
      <c r="M159" s="11">
        <f t="shared" si="5"/>
        <v>117</v>
      </c>
      <c r="N159" s="11">
        <f t="shared" si="1"/>
        <v>117</v>
      </c>
      <c r="O159" s="8"/>
      <c r="P159" s="8" t="s">
        <v>148</v>
      </c>
    </row>
    <row r="160" spans="1:16" ht="15.75" hidden="1" customHeight="1" x14ac:dyDescent="0.2">
      <c r="A160" s="19" t="s">
        <v>61</v>
      </c>
      <c r="B160" s="19" t="s">
        <v>136</v>
      </c>
      <c r="C160" s="19" t="s">
        <v>163</v>
      </c>
      <c r="D160" s="8" t="s">
        <v>164</v>
      </c>
      <c r="E160" s="9">
        <v>225346</v>
      </c>
      <c r="F160" s="9">
        <v>1047027</v>
      </c>
      <c r="G160" s="9">
        <v>9.4629999999999992</v>
      </c>
      <c r="H160" s="9">
        <v>-83.501317</v>
      </c>
      <c r="I160" s="19">
        <v>3464</v>
      </c>
      <c r="J160" s="19" t="s">
        <v>26</v>
      </c>
      <c r="K160" s="10">
        <v>41147</v>
      </c>
      <c r="L160" s="10">
        <v>41243</v>
      </c>
      <c r="M160" s="11">
        <f t="shared" si="5"/>
        <v>97</v>
      </c>
      <c r="N160" s="11">
        <f t="shared" si="1"/>
        <v>97</v>
      </c>
      <c r="O160" s="8"/>
      <c r="P160" s="8" t="s">
        <v>145</v>
      </c>
    </row>
    <row r="161" spans="1:16" ht="15.75" hidden="1" customHeight="1" x14ac:dyDescent="0.2">
      <c r="A161" s="19" t="s">
        <v>16</v>
      </c>
      <c r="B161" s="19" t="s">
        <v>136</v>
      </c>
      <c r="C161" s="19" t="s">
        <v>142</v>
      </c>
      <c r="D161" s="8" t="s">
        <v>161</v>
      </c>
      <c r="E161" s="9">
        <v>218685</v>
      </c>
      <c r="F161" s="9">
        <v>1046732</v>
      </c>
      <c r="G161" s="9">
        <v>9.4598999999999993</v>
      </c>
      <c r="H161" s="9">
        <v>-83.561916999999994</v>
      </c>
      <c r="I161" s="19">
        <v>2938</v>
      </c>
      <c r="J161" s="19" t="s">
        <v>20</v>
      </c>
      <c r="K161" s="10">
        <v>41444</v>
      </c>
      <c r="L161" s="10">
        <v>41655</v>
      </c>
      <c r="M161" s="11">
        <f t="shared" si="5"/>
        <v>212</v>
      </c>
      <c r="N161" s="11">
        <f t="shared" si="1"/>
        <v>212</v>
      </c>
      <c r="O161" s="8"/>
      <c r="P161" s="8" t="s">
        <v>138</v>
      </c>
    </row>
    <row r="162" spans="1:16" ht="15.75" hidden="1" customHeight="1" x14ac:dyDescent="0.2">
      <c r="A162" s="19" t="s">
        <v>16</v>
      </c>
      <c r="B162" s="19" t="s">
        <v>136</v>
      </c>
      <c r="C162" s="19" t="s">
        <v>142</v>
      </c>
      <c r="D162" s="8" t="s">
        <v>162</v>
      </c>
      <c r="E162" s="9">
        <v>220217</v>
      </c>
      <c r="F162" s="9">
        <v>1046347</v>
      </c>
      <c r="G162" s="9">
        <v>9.4565169999999998</v>
      </c>
      <c r="H162" s="9">
        <v>-83.561916999999994</v>
      </c>
      <c r="I162" s="19">
        <v>2694</v>
      </c>
      <c r="J162" s="19" t="s">
        <v>20</v>
      </c>
      <c r="K162" s="10">
        <v>41436</v>
      </c>
      <c r="L162" s="10">
        <v>41555</v>
      </c>
      <c r="M162" s="11">
        <f t="shared" si="5"/>
        <v>120</v>
      </c>
      <c r="N162" s="11">
        <f t="shared" si="1"/>
        <v>120</v>
      </c>
      <c r="O162" s="8"/>
      <c r="P162" s="8" t="s">
        <v>140</v>
      </c>
    </row>
    <row r="163" spans="1:16" ht="15.75" hidden="1" customHeight="1" x14ac:dyDescent="0.2">
      <c r="A163" s="19" t="s">
        <v>16</v>
      </c>
      <c r="B163" s="19" t="s">
        <v>136</v>
      </c>
      <c r="C163" s="19" t="s">
        <v>142</v>
      </c>
      <c r="D163" s="8" t="s">
        <v>143</v>
      </c>
      <c r="E163" s="9">
        <v>221549</v>
      </c>
      <c r="F163" s="9">
        <v>1045193</v>
      </c>
      <c r="G163" s="9">
        <v>9.4461829999999996</v>
      </c>
      <c r="H163" s="9">
        <v>-83.535749999999993</v>
      </c>
      <c r="I163" s="19">
        <v>2858</v>
      </c>
      <c r="J163" s="19" t="s">
        <v>20</v>
      </c>
      <c r="K163" s="10">
        <v>41461</v>
      </c>
      <c r="L163" s="10">
        <v>41473</v>
      </c>
      <c r="M163" s="11">
        <f t="shared" si="5"/>
        <v>13</v>
      </c>
      <c r="N163" s="11">
        <f t="shared" si="1"/>
        <v>13</v>
      </c>
      <c r="O163" s="8"/>
      <c r="P163" s="8" t="s">
        <v>143</v>
      </c>
    </row>
    <row r="164" spans="1:16" ht="15.75" hidden="1" customHeight="1" x14ac:dyDescent="0.2">
      <c r="A164" s="19" t="s">
        <v>16</v>
      </c>
      <c r="B164" s="19" t="s">
        <v>136</v>
      </c>
      <c r="C164" s="19" t="s">
        <v>142</v>
      </c>
      <c r="D164" s="8" t="s">
        <v>144</v>
      </c>
      <c r="E164" s="9">
        <v>222460</v>
      </c>
      <c r="F164" s="9">
        <v>1044781</v>
      </c>
      <c r="G164" s="9">
        <v>9.4425170000000005</v>
      </c>
      <c r="H164" s="9">
        <v>-83.527433000000002</v>
      </c>
      <c r="I164" s="19">
        <v>3107</v>
      </c>
      <c r="J164" s="19" t="s">
        <v>20</v>
      </c>
      <c r="K164" s="10">
        <v>41474</v>
      </c>
      <c r="L164" s="10">
        <v>41647</v>
      </c>
      <c r="M164" s="11">
        <f t="shared" si="5"/>
        <v>174</v>
      </c>
      <c r="N164" s="11">
        <f t="shared" si="1"/>
        <v>174</v>
      </c>
      <c r="O164" s="8"/>
      <c r="P164" s="8" t="s">
        <v>144</v>
      </c>
    </row>
    <row r="165" spans="1:16" ht="15.75" hidden="1" customHeight="1" x14ac:dyDescent="0.2">
      <c r="A165" s="19" t="s">
        <v>16</v>
      </c>
      <c r="B165" s="19" t="s">
        <v>136</v>
      </c>
      <c r="C165" s="19" t="s">
        <v>146</v>
      </c>
      <c r="D165" s="8" t="s">
        <v>147</v>
      </c>
      <c r="E165" s="9">
        <v>224433</v>
      </c>
      <c r="F165" s="9">
        <v>1043313</v>
      </c>
      <c r="G165" s="9">
        <v>9.4293829999999996</v>
      </c>
      <c r="H165" s="9">
        <v>-83.509383</v>
      </c>
      <c r="I165" s="19">
        <v>3113</v>
      </c>
      <c r="J165" s="19" t="s">
        <v>26</v>
      </c>
      <c r="K165" s="10">
        <v>41459</v>
      </c>
      <c r="L165" s="10">
        <v>41636</v>
      </c>
      <c r="M165" s="11">
        <f t="shared" si="5"/>
        <v>178</v>
      </c>
      <c r="N165" s="11">
        <f t="shared" si="1"/>
        <v>178</v>
      </c>
      <c r="O165" s="8"/>
      <c r="P165" s="8" t="s">
        <v>147</v>
      </c>
    </row>
    <row r="166" spans="1:16" ht="15.75" hidden="1" customHeight="1" x14ac:dyDescent="0.2">
      <c r="A166" s="19" t="s">
        <v>16</v>
      </c>
      <c r="B166" s="19" t="s">
        <v>136</v>
      </c>
      <c r="C166" s="19" t="s">
        <v>146</v>
      </c>
      <c r="D166" s="8" t="s">
        <v>148</v>
      </c>
      <c r="E166" s="9">
        <v>224828</v>
      </c>
      <c r="F166" s="9">
        <v>1045786</v>
      </c>
      <c r="G166" s="9">
        <v>9.4517500000000005</v>
      </c>
      <c r="H166" s="9">
        <v>-83.505949999999999</v>
      </c>
      <c r="I166" s="19">
        <v>3365</v>
      </c>
      <c r="J166" s="19" t="s">
        <v>26</v>
      </c>
      <c r="K166" s="10">
        <v>41490</v>
      </c>
      <c r="L166" s="10">
        <v>41575</v>
      </c>
      <c r="M166" s="11">
        <f t="shared" si="5"/>
        <v>86</v>
      </c>
      <c r="N166" s="11">
        <f t="shared" si="1"/>
        <v>86</v>
      </c>
      <c r="O166" s="8"/>
      <c r="P166" s="8" t="s">
        <v>148</v>
      </c>
    </row>
    <row r="167" spans="1:16" ht="15.75" hidden="1" customHeight="1" x14ac:dyDescent="0.2">
      <c r="A167" s="19" t="s">
        <v>16</v>
      </c>
      <c r="B167" s="7" t="s">
        <v>136</v>
      </c>
      <c r="C167" s="19" t="s">
        <v>137</v>
      </c>
      <c r="D167" s="8" t="s">
        <v>164</v>
      </c>
      <c r="E167" s="9">
        <v>218882</v>
      </c>
      <c r="F167" s="9">
        <v>1054826</v>
      </c>
      <c r="G167" s="9">
        <v>9.4629999999999992</v>
      </c>
      <c r="H167" s="9">
        <v>-83.501317</v>
      </c>
      <c r="I167" s="19">
        <v>3265</v>
      </c>
      <c r="J167" s="19" t="s">
        <v>26</v>
      </c>
      <c r="K167" s="10">
        <v>41476</v>
      </c>
      <c r="L167" s="10">
        <v>41635</v>
      </c>
      <c r="M167" s="11">
        <f t="shared" si="5"/>
        <v>160</v>
      </c>
      <c r="N167" s="11">
        <f t="shared" si="1"/>
        <v>160</v>
      </c>
      <c r="O167" s="8"/>
      <c r="P167" s="8" t="s">
        <v>145</v>
      </c>
    </row>
    <row r="168" spans="1:16" ht="15.75" hidden="1" customHeight="1" x14ac:dyDescent="0.2">
      <c r="A168" s="19" t="s">
        <v>16</v>
      </c>
      <c r="B168" s="7" t="s">
        <v>136</v>
      </c>
      <c r="C168" s="19" t="s">
        <v>137</v>
      </c>
      <c r="D168" s="15" t="s">
        <v>150</v>
      </c>
      <c r="E168" s="9">
        <v>225708</v>
      </c>
      <c r="F168" s="9">
        <v>1038833</v>
      </c>
      <c r="G168" s="9">
        <v>9.3875829999999993</v>
      </c>
      <c r="H168" s="9">
        <v>-83.492982999999995</v>
      </c>
      <c r="I168" s="19">
        <v>2243</v>
      </c>
      <c r="J168" s="19" t="s">
        <v>26</v>
      </c>
      <c r="K168" s="10">
        <v>41534</v>
      </c>
      <c r="L168" s="10">
        <v>41626</v>
      </c>
      <c r="M168" s="11">
        <f t="shared" si="5"/>
        <v>93</v>
      </c>
      <c r="N168" s="11">
        <f t="shared" si="1"/>
        <v>93</v>
      </c>
      <c r="O168" s="8"/>
      <c r="P168" s="8" t="s">
        <v>150</v>
      </c>
    </row>
    <row r="169" spans="1:16" ht="15.75" hidden="1" customHeight="1" x14ac:dyDescent="0.2">
      <c r="A169" s="19" t="s">
        <v>16</v>
      </c>
      <c r="B169" s="7" t="s">
        <v>136</v>
      </c>
      <c r="C169" s="19" t="s">
        <v>146</v>
      </c>
      <c r="D169" s="8" t="s">
        <v>153</v>
      </c>
      <c r="E169" s="9">
        <v>224968</v>
      </c>
      <c r="F169" s="9">
        <v>1040580</v>
      </c>
      <c r="G169" s="9">
        <v>9.4047169999999998</v>
      </c>
      <c r="H169" s="9">
        <v>-83.504333000000003</v>
      </c>
      <c r="I169" s="19">
        <v>3029</v>
      </c>
      <c r="J169" s="19" t="s">
        <v>26</v>
      </c>
      <c r="K169" s="10">
        <v>41693</v>
      </c>
      <c r="L169" s="10">
        <v>41693</v>
      </c>
      <c r="M169" s="11">
        <f t="shared" si="5"/>
        <v>1</v>
      </c>
      <c r="N169" s="11">
        <f t="shared" si="1"/>
        <v>1</v>
      </c>
      <c r="O169" s="8"/>
      <c r="P169" s="8" t="s">
        <v>153</v>
      </c>
    </row>
    <row r="170" spans="1:16" ht="15.75" hidden="1" customHeight="1" x14ac:dyDescent="0.2">
      <c r="A170" s="19" t="s">
        <v>36</v>
      </c>
      <c r="B170" s="19" t="s">
        <v>136</v>
      </c>
      <c r="C170" s="19" t="s">
        <v>146</v>
      </c>
      <c r="D170" s="8" t="s">
        <v>147</v>
      </c>
      <c r="E170" s="9">
        <v>224433</v>
      </c>
      <c r="F170" s="9">
        <v>1043313</v>
      </c>
      <c r="G170" s="9">
        <v>9.4293829999999996</v>
      </c>
      <c r="H170" s="9">
        <v>-83.509383</v>
      </c>
      <c r="I170" s="19">
        <v>3113</v>
      </c>
      <c r="J170" s="19" t="s">
        <v>26</v>
      </c>
      <c r="K170" s="10">
        <v>41857</v>
      </c>
      <c r="L170" s="10">
        <v>41982</v>
      </c>
      <c r="M170" s="11">
        <f t="shared" si="5"/>
        <v>126</v>
      </c>
      <c r="N170" s="11">
        <f t="shared" si="1"/>
        <v>126</v>
      </c>
      <c r="O170" s="8"/>
      <c r="P170" s="8" t="s">
        <v>147</v>
      </c>
    </row>
    <row r="171" spans="1:16" ht="15" hidden="1" customHeight="1" x14ac:dyDescent="0.2">
      <c r="A171" s="19" t="s">
        <v>36</v>
      </c>
      <c r="B171" s="7" t="s">
        <v>136</v>
      </c>
      <c r="C171" s="19" t="s">
        <v>146</v>
      </c>
      <c r="D171" s="8" t="s">
        <v>148</v>
      </c>
      <c r="E171" s="9">
        <v>224828</v>
      </c>
      <c r="F171" s="9">
        <v>1045786</v>
      </c>
      <c r="G171" s="9">
        <v>9.4517500000000005</v>
      </c>
      <c r="H171" s="9">
        <v>-83.505949999999999</v>
      </c>
      <c r="I171" s="19">
        <v>3365</v>
      </c>
      <c r="J171" s="19" t="s">
        <v>26</v>
      </c>
      <c r="K171" s="10">
        <v>41878</v>
      </c>
      <c r="L171" s="10">
        <v>41982</v>
      </c>
      <c r="M171" s="11">
        <f t="shared" si="5"/>
        <v>105</v>
      </c>
      <c r="N171" s="11">
        <f t="shared" si="1"/>
        <v>105</v>
      </c>
      <c r="O171" s="8"/>
      <c r="P171" s="8" t="s">
        <v>148</v>
      </c>
    </row>
    <row r="172" spans="1:16" ht="15.75" hidden="1" customHeight="1" x14ac:dyDescent="0.2">
      <c r="A172" s="19" t="s">
        <v>36</v>
      </c>
      <c r="B172" s="19" t="s">
        <v>136</v>
      </c>
      <c r="C172" s="19" t="s">
        <v>149</v>
      </c>
      <c r="D172" s="15" t="s">
        <v>150</v>
      </c>
      <c r="E172" s="9">
        <v>225708</v>
      </c>
      <c r="F172" s="9">
        <v>1038833</v>
      </c>
      <c r="G172" s="9">
        <v>9.3875829999999993</v>
      </c>
      <c r="H172" s="9">
        <v>-83.492982999999995</v>
      </c>
      <c r="I172" s="19">
        <v>2243</v>
      </c>
      <c r="J172" s="19" t="s">
        <v>26</v>
      </c>
      <c r="K172" s="10">
        <v>41886</v>
      </c>
      <c r="L172" s="10">
        <v>41994</v>
      </c>
      <c r="M172" s="11">
        <f t="shared" si="5"/>
        <v>109</v>
      </c>
      <c r="N172" s="11">
        <f t="shared" si="1"/>
        <v>109</v>
      </c>
      <c r="O172" s="8"/>
      <c r="P172" s="8" t="s">
        <v>150</v>
      </c>
    </row>
    <row r="173" spans="1:16" ht="15.75" hidden="1" customHeight="1" x14ac:dyDescent="0.2">
      <c r="A173" s="19" t="s">
        <v>36</v>
      </c>
      <c r="B173" s="19" t="s">
        <v>136</v>
      </c>
      <c r="C173" s="19" t="s">
        <v>149</v>
      </c>
      <c r="D173" s="8" t="s">
        <v>152</v>
      </c>
      <c r="E173" s="9">
        <v>225594</v>
      </c>
      <c r="F173" s="9">
        <v>1039301</v>
      </c>
      <c r="G173" s="9">
        <v>9.3932000000000002</v>
      </c>
      <c r="H173" s="9">
        <v>-83.498549999999994</v>
      </c>
      <c r="I173" s="19">
        <v>2494</v>
      </c>
      <c r="J173" s="19" t="s">
        <v>26</v>
      </c>
      <c r="K173" s="10">
        <v>41883</v>
      </c>
      <c r="L173" s="10">
        <v>41999</v>
      </c>
      <c r="M173" s="11">
        <f t="shared" si="5"/>
        <v>117</v>
      </c>
      <c r="N173" s="11">
        <f t="shared" si="1"/>
        <v>117</v>
      </c>
      <c r="O173" s="8"/>
      <c r="P173" s="8" t="s">
        <v>152</v>
      </c>
    </row>
    <row r="174" spans="1:16" ht="15.75" hidden="1" customHeight="1" x14ac:dyDescent="0.2">
      <c r="A174" s="19" t="s">
        <v>165</v>
      </c>
      <c r="B174" s="19" t="s">
        <v>136</v>
      </c>
      <c r="C174" s="19" t="s">
        <v>142</v>
      </c>
      <c r="D174" s="8" t="s">
        <v>143</v>
      </c>
      <c r="E174" s="9">
        <v>221549</v>
      </c>
      <c r="F174" s="9">
        <v>1045193</v>
      </c>
      <c r="G174" s="9">
        <v>9.4461829999999996</v>
      </c>
      <c r="H174" s="9">
        <v>-83.535749999999993</v>
      </c>
      <c r="I174" s="19">
        <v>2858</v>
      </c>
      <c r="K174" s="7"/>
      <c r="L174" s="7"/>
      <c r="M174" s="11"/>
      <c r="N174" s="11">
        <f t="shared" si="1"/>
        <v>0</v>
      </c>
      <c r="O174" s="8"/>
      <c r="P174" s="8" t="s">
        <v>143</v>
      </c>
    </row>
    <row r="175" spans="1:16" ht="15.75" hidden="1" customHeight="1" x14ac:dyDescent="0.2">
      <c r="A175" s="19" t="s">
        <v>165</v>
      </c>
      <c r="B175" s="19" t="s">
        <v>136</v>
      </c>
      <c r="C175" s="19" t="s">
        <v>146</v>
      </c>
      <c r="D175" s="8" t="s">
        <v>148</v>
      </c>
      <c r="E175" s="9">
        <v>224828</v>
      </c>
      <c r="F175" s="9">
        <v>1045786</v>
      </c>
      <c r="G175" s="9">
        <v>9.4517500000000005</v>
      </c>
      <c r="H175" s="9">
        <v>-83.505949999999999</v>
      </c>
      <c r="I175" s="19">
        <v>3365</v>
      </c>
      <c r="K175" s="10">
        <v>42684</v>
      </c>
      <c r="L175" s="10">
        <v>42709</v>
      </c>
      <c r="M175" s="11">
        <v>21</v>
      </c>
      <c r="N175" s="11">
        <f t="shared" si="1"/>
        <v>26</v>
      </c>
      <c r="O175" s="8"/>
      <c r="P175" s="8" t="s">
        <v>148</v>
      </c>
    </row>
    <row r="176" spans="1:16" ht="15.75" hidden="1" customHeight="1" x14ac:dyDescent="0.2">
      <c r="A176" s="19" t="s">
        <v>165</v>
      </c>
      <c r="B176" s="7" t="s">
        <v>136</v>
      </c>
      <c r="C176" s="19" t="s">
        <v>137</v>
      </c>
      <c r="D176" s="8" t="s">
        <v>138</v>
      </c>
      <c r="E176" s="9">
        <v>216187</v>
      </c>
      <c r="F176" s="9">
        <v>1055367</v>
      </c>
      <c r="G176" s="9">
        <v>9.5377519999999993</v>
      </c>
      <c r="H176" s="9">
        <v>-83.585234</v>
      </c>
      <c r="I176" s="19">
        <v>2938</v>
      </c>
      <c r="J176" s="19" t="s">
        <v>26</v>
      </c>
      <c r="K176" s="10">
        <v>42591</v>
      </c>
      <c r="L176" s="10">
        <v>42679</v>
      </c>
      <c r="M176" s="11">
        <f t="shared" ref="M176:M183" si="6">IF(ISBLANK(K176),0,IF(ISBLANK(L176),0,L176-K176+1))</f>
        <v>89</v>
      </c>
      <c r="N176" s="11">
        <f t="shared" si="1"/>
        <v>89</v>
      </c>
      <c r="O176" s="8"/>
      <c r="P176" s="8" t="s">
        <v>138</v>
      </c>
    </row>
    <row r="177" spans="1:16" ht="15.75" hidden="1" customHeight="1" x14ac:dyDescent="0.2">
      <c r="A177" s="19" t="s">
        <v>165</v>
      </c>
      <c r="B177" s="19" t="s">
        <v>136</v>
      </c>
      <c r="C177" s="19" t="s">
        <v>137</v>
      </c>
      <c r="D177" s="8" t="s">
        <v>162</v>
      </c>
      <c r="E177" s="9">
        <v>215945</v>
      </c>
      <c r="F177" s="9">
        <v>1054550</v>
      </c>
      <c r="G177" s="9">
        <v>9.4565000000000001</v>
      </c>
      <c r="H177" s="9">
        <v>-83.561916999999994</v>
      </c>
      <c r="I177" s="19">
        <v>2694</v>
      </c>
      <c r="K177" s="10">
        <v>42652</v>
      </c>
      <c r="L177" s="10">
        <v>42815</v>
      </c>
      <c r="M177" s="11">
        <f t="shared" si="6"/>
        <v>164</v>
      </c>
      <c r="N177" s="11">
        <f t="shared" si="1"/>
        <v>164</v>
      </c>
      <c r="O177" s="8"/>
      <c r="P177" s="8" t="s">
        <v>140</v>
      </c>
    </row>
    <row r="178" spans="1:16" ht="15.75" hidden="1" customHeight="1" x14ac:dyDescent="0.2">
      <c r="A178" s="19" t="s">
        <v>165</v>
      </c>
      <c r="B178" s="19" t="s">
        <v>136</v>
      </c>
      <c r="C178" s="19" t="s">
        <v>142</v>
      </c>
      <c r="D178" s="8" t="s">
        <v>144</v>
      </c>
      <c r="E178" s="9">
        <v>222460</v>
      </c>
      <c r="F178" s="9">
        <v>1044781</v>
      </c>
      <c r="G178" s="9">
        <v>9.4425170000000005</v>
      </c>
      <c r="H178" s="9">
        <v>-83.527433000000002</v>
      </c>
      <c r="I178" s="19">
        <v>3107</v>
      </c>
      <c r="K178" s="10">
        <v>42696</v>
      </c>
      <c r="L178" s="10">
        <v>42718</v>
      </c>
      <c r="M178" s="11">
        <f t="shared" si="6"/>
        <v>23</v>
      </c>
      <c r="N178" s="11">
        <f t="shared" si="1"/>
        <v>23</v>
      </c>
      <c r="O178" s="8"/>
      <c r="P178" s="8" t="s">
        <v>144</v>
      </c>
    </row>
    <row r="179" spans="1:16" ht="15.75" hidden="1" customHeight="1" x14ac:dyDescent="0.2">
      <c r="A179" s="19" t="s">
        <v>165</v>
      </c>
      <c r="B179" s="19" t="s">
        <v>136</v>
      </c>
      <c r="C179" s="19" t="s">
        <v>137</v>
      </c>
      <c r="D179" s="15" t="s">
        <v>145</v>
      </c>
      <c r="E179" s="9">
        <v>218882</v>
      </c>
      <c r="F179" s="9">
        <v>1054826</v>
      </c>
      <c r="G179" s="9">
        <v>9.5330499999999994</v>
      </c>
      <c r="H179" s="9">
        <v>-83.560666999999995</v>
      </c>
      <c r="I179" s="19">
        <v>3265</v>
      </c>
      <c r="K179" s="10">
        <v>42591</v>
      </c>
      <c r="L179" s="10">
        <v>42735</v>
      </c>
      <c r="M179" s="11">
        <f t="shared" si="6"/>
        <v>145</v>
      </c>
      <c r="N179" s="11">
        <f t="shared" si="1"/>
        <v>145</v>
      </c>
      <c r="O179" s="8"/>
      <c r="P179" s="8" t="s">
        <v>145</v>
      </c>
    </row>
    <row r="180" spans="1:16" ht="15.75" hidden="1" customHeight="1" x14ac:dyDescent="0.2">
      <c r="A180" s="19" t="s">
        <v>165</v>
      </c>
      <c r="B180" s="19" t="s">
        <v>136</v>
      </c>
      <c r="C180" s="19" t="s">
        <v>146</v>
      </c>
      <c r="D180" s="8" t="s">
        <v>147</v>
      </c>
      <c r="E180" s="9">
        <v>224433</v>
      </c>
      <c r="F180" s="9">
        <v>1043313</v>
      </c>
      <c r="G180" s="9">
        <v>9.4293829999999996</v>
      </c>
      <c r="H180" s="9">
        <v>-83.509383</v>
      </c>
      <c r="I180" s="19">
        <v>3113</v>
      </c>
      <c r="K180" s="7"/>
      <c r="L180" s="7"/>
      <c r="M180" s="11">
        <f t="shared" si="6"/>
        <v>0</v>
      </c>
      <c r="N180" s="11">
        <f t="shared" si="1"/>
        <v>0</v>
      </c>
      <c r="O180" s="8"/>
      <c r="P180" s="8" t="s">
        <v>147</v>
      </c>
    </row>
    <row r="181" spans="1:16" ht="15.75" hidden="1" customHeight="1" x14ac:dyDescent="0.2">
      <c r="A181" s="19" t="s">
        <v>165</v>
      </c>
      <c r="B181" s="7" t="s">
        <v>136</v>
      </c>
      <c r="C181" s="19" t="s">
        <v>149</v>
      </c>
      <c r="D181" s="15" t="s">
        <v>150</v>
      </c>
      <c r="E181" s="9">
        <v>225708</v>
      </c>
      <c r="F181" s="9">
        <v>1038833</v>
      </c>
      <c r="G181" s="9">
        <v>9.3875829999999993</v>
      </c>
      <c r="H181" s="9">
        <v>-83.492982999999995</v>
      </c>
      <c r="I181" s="19">
        <v>2243</v>
      </c>
      <c r="K181" s="10">
        <v>42614</v>
      </c>
      <c r="L181" s="10">
        <v>42704</v>
      </c>
      <c r="M181" s="11">
        <f t="shared" si="6"/>
        <v>91</v>
      </c>
      <c r="N181" s="11">
        <f t="shared" si="1"/>
        <v>91</v>
      </c>
      <c r="O181" s="8"/>
      <c r="P181" s="8" t="s">
        <v>151</v>
      </c>
    </row>
    <row r="182" spans="1:16" ht="15.75" hidden="1" customHeight="1" x14ac:dyDescent="0.2">
      <c r="A182" s="19" t="s">
        <v>165</v>
      </c>
      <c r="B182" s="7" t="s">
        <v>136</v>
      </c>
      <c r="C182" s="19" t="s">
        <v>149</v>
      </c>
      <c r="D182" s="8" t="s">
        <v>152</v>
      </c>
      <c r="E182" s="9">
        <v>225594</v>
      </c>
      <c r="F182" s="9">
        <v>1039301</v>
      </c>
      <c r="G182" s="9">
        <v>9.3932000000000002</v>
      </c>
      <c r="H182" s="9">
        <v>-83.498549999999994</v>
      </c>
      <c r="I182" s="19">
        <v>2494</v>
      </c>
      <c r="K182" s="10">
        <v>42599</v>
      </c>
      <c r="L182" s="10">
        <v>42661</v>
      </c>
      <c r="M182" s="11">
        <f t="shared" si="6"/>
        <v>63</v>
      </c>
      <c r="N182" s="11">
        <f t="shared" si="1"/>
        <v>63</v>
      </c>
      <c r="O182" s="8"/>
      <c r="P182" s="8" t="s">
        <v>152</v>
      </c>
    </row>
    <row r="183" spans="1:16" ht="15.75" hidden="1" customHeight="1" x14ac:dyDescent="0.2">
      <c r="A183" s="19" t="s">
        <v>165</v>
      </c>
      <c r="B183" s="19" t="s">
        <v>136</v>
      </c>
      <c r="C183" s="19" t="s">
        <v>146</v>
      </c>
      <c r="D183" s="8" t="s">
        <v>153</v>
      </c>
      <c r="E183" s="9">
        <v>224968</v>
      </c>
      <c r="F183" s="9">
        <v>1040580</v>
      </c>
      <c r="G183" s="9">
        <v>9.4047169999999998</v>
      </c>
      <c r="H183" s="9">
        <v>-83.504333000000003</v>
      </c>
      <c r="I183" s="19">
        <v>3029</v>
      </c>
      <c r="K183" s="10">
        <v>42634</v>
      </c>
      <c r="L183" s="10">
        <v>42735</v>
      </c>
      <c r="M183" s="11">
        <f t="shared" si="6"/>
        <v>102</v>
      </c>
      <c r="N183" s="11">
        <f t="shared" si="1"/>
        <v>102</v>
      </c>
      <c r="O183" s="8"/>
      <c r="P183" s="8" t="s">
        <v>153</v>
      </c>
    </row>
    <row r="184" spans="1:16" ht="15.75" hidden="1" customHeight="1" x14ac:dyDescent="0.2">
      <c r="A184" s="19" t="s">
        <v>165</v>
      </c>
      <c r="B184" s="19" t="s">
        <v>136</v>
      </c>
      <c r="C184" s="19" t="s">
        <v>156</v>
      </c>
      <c r="D184" s="8" t="s">
        <v>157</v>
      </c>
      <c r="E184" s="9">
        <v>554363</v>
      </c>
      <c r="F184" s="9">
        <v>1045708</v>
      </c>
      <c r="G184" s="9">
        <v>9.4596400000000003</v>
      </c>
      <c r="H184" s="9">
        <v>-80.504769999999994</v>
      </c>
      <c r="K184" s="10">
        <v>42694</v>
      </c>
      <c r="L184" s="10">
        <v>42712</v>
      </c>
      <c r="M184" s="11">
        <v>0</v>
      </c>
      <c r="N184" s="11">
        <f t="shared" si="1"/>
        <v>19</v>
      </c>
      <c r="O184" s="8" t="s">
        <v>166</v>
      </c>
      <c r="P184" s="8" t="s">
        <v>157</v>
      </c>
    </row>
    <row r="185" spans="1:16" ht="15.75" hidden="1" customHeight="1" x14ac:dyDescent="0.2">
      <c r="A185" s="19" t="s">
        <v>165</v>
      </c>
      <c r="B185" s="19" t="s">
        <v>136</v>
      </c>
      <c r="C185" s="19" t="s">
        <v>156</v>
      </c>
      <c r="D185" s="8" t="s">
        <v>158</v>
      </c>
      <c r="E185" s="9">
        <v>554363</v>
      </c>
      <c r="F185" s="9">
        <v>1045708</v>
      </c>
      <c r="G185" s="9">
        <v>9.4596400000000003</v>
      </c>
      <c r="H185" s="9">
        <v>-80.504769999999994</v>
      </c>
      <c r="K185" s="10">
        <v>42713</v>
      </c>
      <c r="L185" s="10">
        <v>42736</v>
      </c>
      <c r="M185" s="11">
        <v>0</v>
      </c>
      <c r="N185" s="11">
        <f t="shared" si="1"/>
        <v>24</v>
      </c>
      <c r="O185" s="8" t="s">
        <v>167</v>
      </c>
      <c r="P185" s="8" t="s">
        <v>158</v>
      </c>
    </row>
    <row r="186" spans="1:16" ht="15.75" hidden="1" customHeight="1" x14ac:dyDescent="0.2">
      <c r="A186" s="19" t="s">
        <v>165</v>
      </c>
      <c r="B186" s="19" t="s">
        <v>136</v>
      </c>
      <c r="C186" s="19" t="s">
        <v>156</v>
      </c>
      <c r="D186" s="8" t="s">
        <v>159</v>
      </c>
      <c r="E186" s="9">
        <v>554363</v>
      </c>
      <c r="F186" s="9">
        <v>1045708</v>
      </c>
      <c r="G186" s="9">
        <v>9.4596400000000003</v>
      </c>
      <c r="H186" s="9">
        <v>-80.504769999999994</v>
      </c>
      <c r="K186" s="7"/>
      <c r="L186" s="7"/>
      <c r="M186" s="11">
        <f t="shared" ref="M186:M199" si="7">IF(ISBLANK(K186),0,IF(ISBLANK(L186),0,L186-K186+1))</f>
        <v>0</v>
      </c>
      <c r="N186" s="11">
        <f t="shared" si="1"/>
        <v>0</v>
      </c>
      <c r="O186" s="8"/>
      <c r="P186" s="8" t="s">
        <v>159</v>
      </c>
    </row>
    <row r="187" spans="1:16" ht="15.75" hidden="1" customHeight="1" x14ac:dyDescent="0.2">
      <c r="A187" s="19" t="s">
        <v>128</v>
      </c>
      <c r="B187" s="19" t="s">
        <v>136</v>
      </c>
      <c r="C187" s="19" t="s">
        <v>137</v>
      </c>
      <c r="D187" s="8" t="s">
        <v>138</v>
      </c>
      <c r="E187" s="9">
        <v>216187</v>
      </c>
      <c r="F187" s="9">
        <v>1055367</v>
      </c>
      <c r="G187" s="9">
        <v>9.5377519999999993</v>
      </c>
      <c r="H187" s="9">
        <v>-83.585234</v>
      </c>
      <c r="I187" s="19">
        <v>2938</v>
      </c>
      <c r="J187" s="19" t="s">
        <v>26</v>
      </c>
      <c r="K187" s="10">
        <v>42955</v>
      </c>
      <c r="L187" s="10">
        <v>42976</v>
      </c>
      <c r="M187" s="11">
        <f t="shared" si="7"/>
        <v>22</v>
      </c>
      <c r="N187" s="11">
        <f t="shared" si="1"/>
        <v>22</v>
      </c>
      <c r="O187" s="26" t="s">
        <v>168</v>
      </c>
      <c r="P187" s="8" t="s">
        <v>138</v>
      </c>
    </row>
    <row r="188" spans="1:16" ht="15.75" hidden="1" customHeight="1" x14ac:dyDescent="0.2">
      <c r="A188" s="19" t="s">
        <v>128</v>
      </c>
      <c r="B188" s="19" t="s">
        <v>136</v>
      </c>
      <c r="C188" s="7" t="s">
        <v>142</v>
      </c>
      <c r="D188" s="8" t="s">
        <v>143</v>
      </c>
      <c r="E188" s="9">
        <v>221549</v>
      </c>
      <c r="F188" s="9">
        <v>1045193</v>
      </c>
      <c r="G188" s="9">
        <v>9.4461829999999996</v>
      </c>
      <c r="H188" s="9">
        <v>-83.535749999999993</v>
      </c>
      <c r="I188" s="19">
        <v>2858</v>
      </c>
      <c r="J188" s="19" t="s">
        <v>26</v>
      </c>
      <c r="K188" s="10">
        <v>42870</v>
      </c>
      <c r="L188" s="10">
        <v>42894</v>
      </c>
      <c r="M188" s="11">
        <f t="shared" si="7"/>
        <v>25</v>
      </c>
      <c r="N188" s="11">
        <f t="shared" si="1"/>
        <v>25</v>
      </c>
      <c r="O188" s="26" t="s">
        <v>169</v>
      </c>
      <c r="P188" s="8" t="s">
        <v>143</v>
      </c>
    </row>
    <row r="189" spans="1:16" ht="15.75" hidden="1" customHeight="1" x14ac:dyDescent="0.2">
      <c r="A189" s="19" t="s">
        <v>128</v>
      </c>
      <c r="B189" s="19" t="s">
        <v>136</v>
      </c>
      <c r="C189" s="7" t="s">
        <v>137</v>
      </c>
      <c r="D189" s="8" t="s">
        <v>162</v>
      </c>
      <c r="E189" s="9">
        <v>215945</v>
      </c>
      <c r="F189" s="9">
        <v>1054550</v>
      </c>
      <c r="G189" s="9">
        <v>9.4565000000000001</v>
      </c>
      <c r="H189" s="9">
        <v>-83.561916999999994</v>
      </c>
      <c r="I189" s="19">
        <v>2694</v>
      </c>
      <c r="J189" s="19" t="s">
        <v>20</v>
      </c>
      <c r="K189" s="7"/>
      <c r="L189" s="7"/>
      <c r="M189" s="11">
        <f t="shared" si="7"/>
        <v>0</v>
      </c>
      <c r="N189" s="11">
        <f t="shared" si="1"/>
        <v>0</v>
      </c>
      <c r="O189" s="8"/>
      <c r="P189" s="8" t="s">
        <v>140</v>
      </c>
    </row>
    <row r="190" spans="1:16" ht="15.75" hidden="1" customHeight="1" x14ac:dyDescent="0.2">
      <c r="A190" s="19" t="s">
        <v>128</v>
      </c>
      <c r="B190" s="19" t="s">
        <v>136</v>
      </c>
      <c r="C190" s="7" t="s">
        <v>142</v>
      </c>
      <c r="D190" s="8" t="s">
        <v>144</v>
      </c>
      <c r="E190" s="9">
        <v>222460</v>
      </c>
      <c r="F190" s="9">
        <v>1044781</v>
      </c>
      <c r="G190" s="9">
        <v>9.4425170000000005</v>
      </c>
      <c r="H190" s="9">
        <v>-83.527433000000002</v>
      </c>
      <c r="I190" s="19">
        <v>3107</v>
      </c>
      <c r="J190" s="19" t="s">
        <v>26</v>
      </c>
      <c r="K190" s="7"/>
      <c r="L190" s="7"/>
      <c r="M190" s="11">
        <f t="shared" si="7"/>
        <v>0</v>
      </c>
      <c r="N190" s="11">
        <f t="shared" si="1"/>
        <v>0</v>
      </c>
      <c r="O190" s="8"/>
      <c r="P190" s="8" t="s">
        <v>144</v>
      </c>
    </row>
    <row r="191" spans="1:16" ht="15.75" hidden="1" customHeight="1" x14ac:dyDescent="0.2">
      <c r="A191" s="19" t="s">
        <v>128</v>
      </c>
      <c r="B191" s="19" t="s">
        <v>136</v>
      </c>
      <c r="C191" s="19" t="s">
        <v>137</v>
      </c>
      <c r="D191" s="15" t="s">
        <v>145</v>
      </c>
      <c r="E191" s="9">
        <v>218882</v>
      </c>
      <c r="F191" s="9">
        <v>1054826</v>
      </c>
      <c r="G191" s="9">
        <v>9.5330499999999994</v>
      </c>
      <c r="H191" s="9">
        <v>-83.560666999999995</v>
      </c>
      <c r="I191" s="19">
        <v>3265</v>
      </c>
      <c r="J191" s="19" t="s">
        <v>26</v>
      </c>
      <c r="K191" s="7"/>
      <c r="L191" s="7"/>
      <c r="M191" s="11">
        <f t="shared" si="7"/>
        <v>0</v>
      </c>
      <c r="N191" s="11">
        <f t="shared" si="1"/>
        <v>0</v>
      </c>
      <c r="O191" s="8"/>
      <c r="P191" s="8" t="s">
        <v>145</v>
      </c>
    </row>
    <row r="192" spans="1:16" ht="15.75" hidden="1" customHeight="1" x14ac:dyDescent="0.2">
      <c r="A192" s="19" t="s">
        <v>128</v>
      </c>
      <c r="B192" s="19" t="s">
        <v>136</v>
      </c>
      <c r="C192" s="19" t="s">
        <v>146</v>
      </c>
      <c r="D192" s="8" t="s">
        <v>147</v>
      </c>
      <c r="E192" s="9">
        <v>224433</v>
      </c>
      <c r="F192" s="9">
        <v>1043313</v>
      </c>
      <c r="G192" s="9">
        <v>9.4293829999999996</v>
      </c>
      <c r="H192" s="9">
        <v>-83.509383</v>
      </c>
      <c r="I192" s="19">
        <v>3113</v>
      </c>
      <c r="J192" s="19" t="s">
        <v>37</v>
      </c>
      <c r="K192" s="7"/>
      <c r="L192" s="7"/>
      <c r="M192" s="11">
        <f t="shared" si="7"/>
        <v>0</v>
      </c>
      <c r="N192" s="11">
        <f t="shared" si="1"/>
        <v>0</v>
      </c>
      <c r="O192" s="8"/>
      <c r="P192" s="8" t="s">
        <v>147</v>
      </c>
    </row>
    <row r="193" spans="1:16" ht="15.75" hidden="1" customHeight="1" x14ac:dyDescent="0.2">
      <c r="A193" s="19" t="s">
        <v>128</v>
      </c>
      <c r="B193" s="19" t="s">
        <v>136</v>
      </c>
      <c r="C193" s="19" t="s">
        <v>146</v>
      </c>
      <c r="D193" s="8" t="s">
        <v>148</v>
      </c>
      <c r="E193" s="9">
        <v>224828</v>
      </c>
      <c r="F193" s="9">
        <v>1045786</v>
      </c>
      <c r="G193" s="9">
        <v>9.4517500000000005</v>
      </c>
      <c r="H193" s="9">
        <v>-83.505949999999999</v>
      </c>
      <c r="I193" s="19">
        <v>3365</v>
      </c>
      <c r="J193" s="19" t="s">
        <v>26</v>
      </c>
      <c r="K193" s="7"/>
      <c r="L193" s="7"/>
      <c r="M193" s="11">
        <f t="shared" si="7"/>
        <v>0</v>
      </c>
      <c r="N193" s="11">
        <f t="shared" si="1"/>
        <v>0</v>
      </c>
      <c r="O193" s="8"/>
      <c r="P193" s="8" t="s">
        <v>148</v>
      </c>
    </row>
    <row r="194" spans="1:16" ht="15.75" hidden="1" customHeight="1" x14ac:dyDescent="0.2">
      <c r="A194" s="19" t="s">
        <v>128</v>
      </c>
      <c r="B194" s="19" t="s">
        <v>136</v>
      </c>
      <c r="C194" s="19" t="s">
        <v>149</v>
      </c>
      <c r="D194" s="15" t="s">
        <v>150</v>
      </c>
      <c r="E194" s="9">
        <v>225708</v>
      </c>
      <c r="F194" s="9">
        <v>1038833</v>
      </c>
      <c r="G194" s="9">
        <v>9.3875829999999993</v>
      </c>
      <c r="H194" s="9">
        <v>-83.492982999999995</v>
      </c>
      <c r="I194" s="19">
        <v>2243</v>
      </c>
      <c r="J194" s="19" t="s">
        <v>26</v>
      </c>
      <c r="M194" s="11">
        <f t="shared" si="7"/>
        <v>0</v>
      </c>
      <c r="N194" s="11">
        <f t="shared" si="1"/>
        <v>0</v>
      </c>
      <c r="O194" s="8"/>
      <c r="P194" s="8" t="s">
        <v>151</v>
      </c>
    </row>
    <row r="195" spans="1:16" ht="15.75" hidden="1" customHeight="1" x14ac:dyDescent="0.2">
      <c r="A195" s="19" t="s">
        <v>128</v>
      </c>
      <c r="B195" s="19" t="s">
        <v>136</v>
      </c>
      <c r="C195" s="19" t="s">
        <v>149</v>
      </c>
      <c r="D195" s="8" t="s">
        <v>152</v>
      </c>
      <c r="E195" s="9">
        <v>225594</v>
      </c>
      <c r="F195" s="9">
        <v>1039301</v>
      </c>
      <c r="G195" s="9">
        <v>9.3932000000000002</v>
      </c>
      <c r="H195" s="9">
        <v>-83.498549999999994</v>
      </c>
      <c r="I195" s="19">
        <v>2494</v>
      </c>
      <c r="J195" s="19" t="s">
        <v>26</v>
      </c>
      <c r="M195" s="11">
        <f t="shared" si="7"/>
        <v>0</v>
      </c>
      <c r="N195" s="11">
        <f t="shared" si="1"/>
        <v>0</v>
      </c>
      <c r="O195" s="8"/>
      <c r="P195" s="8" t="s">
        <v>152</v>
      </c>
    </row>
    <row r="196" spans="1:16" ht="15.75" hidden="1" customHeight="1" x14ac:dyDescent="0.2">
      <c r="A196" s="19" t="s">
        <v>128</v>
      </c>
      <c r="B196" s="19" t="s">
        <v>136</v>
      </c>
      <c r="C196" s="19" t="s">
        <v>146</v>
      </c>
      <c r="D196" s="8" t="s">
        <v>153</v>
      </c>
      <c r="E196" s="9">
        <v>224968</v>
      </c>
      <c r="F196" s="9">
        <v>1040580</v>
      </c>
      <c r="G196" s="9">
        <v>9.4047169999999998</v>
      </c>
      <c r="H196" s="9">
        <v>-83.504333000000003</v>
      </c>
      <c r="I196" s="19">
        <v>3029</v>
      </c>
      <c r="J196" s="19" t="s">
        <v>26</v>
      </c>
      <c r="K196" s="7"/>
      <c r="L196" s="7"/>
      <c r="M196" s="11">
        <f t="shared" si="7"/>
        <v>0</v>
      </c>
      <c r="N196" s="11">
        <f t="shared" si="1"/>
        <v>0</v>
      </c>
      <c r="O196" s="8"/>
      <c r="P196" s="8" t="s">
        <v>153</v>
      </c>
    </row>
    <row r="197" spans="1:16" ht="15.75" hidden="1" customHeight="1" x14ac:dyDescent="0.2">
      <c r="A197" s="19" t="s">
        <v>128</v>
      </c>
      <c r="B197" s="19" t="s">
        <v>136</v>
      </c>
      <c r="C197" s="19" t="s">
        <v>156</v>
      </c>
      <c r="D197" s="8" t="s">
        <v>157</v>
      </c>
      <c r="E197" s="9">
        <v>554363</v>
      </c>
      <c r="F197" s="9">
        <v>1045708</v>
      </c>
      <c r="G197" s="9">
        <v>9.4596400000000003</v>
      </c>
      <c r="H197" s="9">
        <v>-80.504769999999994</v>
      </c>
      <c r="J197" s="19" t="s">
        <v>170</v>
      </c>
      <c r="K197" s="7"/>
      <c r="L197" s="7"/>
      <c r="M197" s="11">
        <f t="shared" si="7"/>
        <v>0</v>
      </c>
      <c r="N197" s="11">
        <f t="shared" si="1"/>
        <v>0</v>
      </c>
      <c r="O197" s="8"/>
      <c r="P197" s="8" t="s">
        <v>157</v>
      </c>
    </row>
    <row r="198" spans="1:16" ht="15.75" hidden="1" customHeight="1" x14ac:dyDescent="0.2">
      <c r="A198" s="19" t="s">
        <v>128</v>
      </c>
      <c r="B198" s="19" t="s">
        <v>136</v>
      </c>
      <c r="C198" s="19" t="s">
        <v>156</v>
      </c>
      <c r="D198" s="8" t="s">
        <v>158</v>
      </c>
      <c r="E198" s="9">
        <v>554363</v>
      </c>
      <c r="F198" s="9">
        <v>1045708</v>
      </c>
      <c r="G198" s="9">
        <v>9.4596400000000003</v>
      </c>
      <c r="H198" s="9">
        <v>-80.504769999999994</v>
      </c>
      <c r="J198" s="19" t="s">
        <v>170</v>
      </c>
      <c r="K198" s="7"/>
      <c r="L198" s="7"/>
      <c r="M198" s="11">
        <f t="shared" si="7"/>
        <v>0</v>
      </c>
      <c r="N198" s="11">
        <f t="shared" si="1"/>
        <v>0</v>
      </c>
      <c r="O198" s="8"/>
      <c r="P198" s="8" t="s">
        <v>158</v>
      </c>
    </row>
    <row r="199" spans="1:16" ht="15.75" hidden="1" customHeight="1" x14ac:dyDescent="0.2">
      <c r="A199" s="19" t="s">
        <v>128</v>
      </c>
      <c r="B199" s="7" t="s">
        <v>136</v>
      </c>
      <c r="C199" s="19" t="s">
        <v>156</v>
      </c>
      <c r="D199" s="8" t="s">
        <v>159</v>
      </c>
      <c r="E199" s="9">
        <v>554363</v>
      </c>
      <c r="F199" s="9">
        <v>1045708</v>
      </c>
      <c r="G199" s="9">
        <v>9.4596400000000003</v>
      </c>
      <c r="H199" s="9">
        <v>-80.504769999999994</v>
      </c>
      <c r="J199" s="19" t="s">
        <v>170</v>
      </c>
      <c r="K199" s="7"/>
      <c r="L199" s="7"/>
      <c r="M199" s="11">
        <f t="shared" si="7"/>
        <v>0</v>
      </c>
      <c r="N199" s="11">
        <f t="shared" si="1"/>
        <v>0</v>
      </c>
      <c r="O199" s="8"/>
      <c r="P199" s="8" t="s">
        <v>159</v>
      </c>
    </row>
    <row r="200" spans="1:16" ht="15.75" hidden="1" customHeight="1" x14ac:dyDescent="0.2">
      <c r="A200" s="19" t="s">
        <v>40</v>
      </c>
      <c r="B200" s="19" t="s">
        <v>136</v>
      </c>
      <c r="C200" s="19" t="s">
        <v>142</v>
      </c>
      <c r="D200" s="8" t="s">
        <v>161</v>
      </c>
      <c r="E200" s="9">
        <v>218685</v>
      </c>
      <c r="F200" s="9">
        <v>1046732</v>
      </c>
      <c r="G200" s="9">
        <v>9.4598999999999993</v>
      </c>
      <c r="H200" s="9">
        <v>-83.561916999999994</v>
      </c>
      <c r="I200" s="19">
        <v>2308</v>
      </c>
      <c r="J200" s="19" t="s">
        <v>20</v>
      </c>
      <c r="K200" s="10">
        <v>41299</v>
      </c>
      <c r="L200" s="10">
        <v>41444</v>
      </c>
      <c r="M200" s="11">
        <v>142</v>
      </c>
      <c r="N200" s="11">
        <f t="shared" si="1"/>
        <v>146</v>
      </c>
      <c r="O200" s="8"/>
      <c r="P200" s="8" t="s">
        <v>138</v>
      </c>
    </row>
    <row r="201" spans="1:16" ht="15.75" hidden="1" customHeight="1" x14ac:dyDescent="0.2">
      <c r="A201" s="19" t="s">
        <v>40</v>
      </c>
      <c r="B201" s="19" t="s">
        <v>136</v>
      </c>
      <c r="C201" s="19" t="s">
        <v>142</v>
      </c>
      <c r="D201" s="8" t="s">
        <v>162</v>
      </c>
      <c r="E201" s="9">
        <v>220217</v>
      </c>
      <c r="F201" s="9">
        <v>1046347</v>
      </c>
      <c r="G201" s="9">
        <v>9.4565169999999998</v>
      </c>
      <c r="H201" s="9">
        <v>-83.54795</v>
      </c>
      <c r="I201" s="19">
        <v>2490</v>
      </c>
      <c r="J201" s="19" t="s">
        <v>20</v>
      </c>
      <c r="K201" s="10">
        <v>41291</v>
      </c>
      <c r="L201" s="10">
        <v>41436</v>
      </c>
      <c r="M201" s="11">
        <f t="shared" ref="M201:M209" si="8">IF(ISBLANK(K201),0,IF(ISBLANK(L201),0,L201-K201+1))</f>
        <v>146</v>
      </c>
      <c r="N201" s="11">
        <f t="shared" si="1"/>
        <v>146</v>
      </c>
      <c r="O201" s="8"/>
      <c r="P201" s="8" t="s">
        <v>140</v>
      </c>
    </row>
    <row r="202" spans="1:16" ht="15.75" hidden="1" customHeight="1" x14ac:dyDescent="0.2">
      <c r="A202" s="19" t="s">
        <v>40</v>
      </c>
      <c r="B202" s="19" t="s">
        <v>136</v>
      </c>
      <c r="C202" s="19" t="s">
        <v>142</v>
      </c>
      <c r="D202" s="8" t="s">
        <v>143</v>
      </c>
      <c r="E202" s="9">
        <v>221549</v>
      </c>
      <c r="F202" s="9">
        <v>1045193</v>
      </c>
      <c r="G202" s="9">
        <v>9.4461829999999996</v>
      </c>
      <c r="H202" s="9">
        <v>-83.535749999999993</v>
      </c>
      <c r="I202" s="19">
        <v>2858</v>
      </c>
      <c r="J202" s="19" t="s">
        <v>20</v>
      </c>
      <c r="K202" s="10">
        <v>41291</v>
      </c>
      <c r="L202" s="10">
        <v>41430</v>
      </c>
      <c r="M202" s="11">
        <f t="shared" si="8"/>
        <v>140</v>
      </c>
      <c r="N202" s="11">
        <f t="shared" si="1"/>
        <v>140</v>
      </c>
      <c r="O202" s="8"/>
      <c r="P202" s="8" t="s">
        <v>143</v>
      </c>
    </row>
    <row r="203" spans="1:16" ht="15.75" hidden="1" customHeight="1" x14ac:dyDescent="0.2">
      <c r="A203" s="19" t="s">
        <v>40</v>
      </c>
      <c r="B203" s="19" t="s">
        <v>136</v>
      </c>
      <c r="C203" s="19" t="s">
        <v>142</v>
      </c>
      <c r="D203" s="8" t="s">
        <v>144</v>
      </c>
      <c r="E203" s="9">
        <v>224460</v>
      </c>
      <c r="F203" s="9">
        <v>1044781</v>
      </c>
      <c r="G203" s="9">
        <v>9.4425170000000005</v>
      </c>
      <c r="H203" s="9">
        <v>-83.527433000000002</v>
      </c>
      <c r="I203" s="19">
        <v>3107</v>
      </c>
      <c r="J203" s="19" t="s">
        <v>20</v>
      </c>
      <c r="K203" s="10">
        <v>41291</v>
      </c>
      <c r="L203" s="10">
        <v>41440</v>
      </c>
      <c r="M203" s="11">
        <f t="shared" si="8"/>
        <v>150</v>
      </c>
      <c r="N203" s="11">
        <f t="shared" si="1"/>
        <v>150</v>
      </c>
      <c r="O203" s="8"/>
      <c r="P203" s="8" t="s">
        <v>144</v>
      </c>
    </row>
    <row r="204" spans="1:16" ht="15" hidden="1" customHeight="1" x14ac:dyDescent="0.2">
      <c r="A204" s="19" t="s">
        <v>40</v>
      </c>
      <c r="B204" s="19" t="s">
        <v>136</v>
      </c>
      <c r="C204" s="19" t="s">
        <v>146</v>
      </c>
      <c r="D204" s="8" t="s">
        <v>148</v>
      </c>
      <c r="E204" s="9">
        <v>224828</v>
      </c>
      <c r="F204" s="9">
        <v>1045786</v>
      </c>
      <c r="G204" s="9">
        <v>9.4517500000000005</v>
      </c>
      <c r="H204" s="9">
        <v>-83.505949999999999</v>
      </c>
      <c r="I204" s="19">
        <v>3365</v>
      </c>
      <c r="J204" s="19" t="s">
        <v>26</v>
      </c>
      <c r="K204" s="10">
        <v>41294</v>
      </c>
      <c r="L204" s="10">
        <v>41440</v>
      </c>
      <c r="M204" s="11">
        <f t="shared" si="8"/>
        <v>147</v>
      </c>
      <c r="N204" s="11">
        <f t="shared" si="1"/>
        <v>147</v>
      </c>
      <c r="O204" s="8"/>
      <c r="P204" s="8" t="s">
        <v>148</v>
      </c>
    </row>
    <row r="205" spans="1:16" ht="15" hidden="1" customHeight="1" x14ac:dyDescent="0.2">
      <c r="A205" s="19" t="s">
        <v>40</v>
      </c>
      <c r="B205" s="19" t="s">
        <v>136</v>
      </c>
      <c r="C205" s="19" t="s">
        <v>163</v>
      </c>
      <c r="D205" s="8" t="s">
        <v>164</v>
      </c>
      <c r="E205" s="9">
        <v>225346</v>
      </c>
      <c r="F205" s="9">
        <v>1047027</v>
      </c>
      <c r="G205" s="9">
        <v>9.4629999999999992</v>
      </c>
      <c r="H205" s="9">
        <v>-83.501317</v>
      </c>
      <c r="I205" s="19">
        <v>3464</v>
      </c>
      <c r="J205" s="19" t="s">
        <v>26</v>
      </c>
      <c r="K205" s="10">
        <v>41300</v>
      </c>
      <c r="L205" s="10">
        <v>41457</v>
      </c>
      <c r="M205" s="11">
        <f t="shared" si="8"/>
        <v>158</v>
      </c>
      <c r="N205" s="11">
        <f t="shared" si="1"/>
        <v>158</v>
      </c>
      <c r="O205" s="8"/>
      <c r="P205" s="8" t="s">
        <v>145</v>
      </c>
    </row>
    <row r="206" spans="1:16" ht="15.75" hidden="1" customHeight="1" x14ac:dyDescent="0.2">
      <c r="A206" s="19" t="s">
        <v>42</v>
      </c>
      <c r="B206" s="19" t="s">
        <v>136</v>
      </c>
      <c r="C206" s="19" t="s">
        <v>142</v>
      </c>
      <c r="D206" s="8" t="s">
        <v>162</v>
      </c>
      <c r="E206" s="9">
        <v>215945</v>
      </c>
      <c r="F206" s="9">
        <v>1054550</v>
      </c>
      <c r="G206" s="9">
        <v>9.4565169999999998</v>
      </c>
      <c r="H206" s="9">
        <v>-83.54795</v>
      </c>
      <c r="I206" s="19">
        <v>2694</v>
      </c>
      <c r="J206" s="19" t="s">
        <v>20</v>
      </c>
      <c r="K206" s="10">
        <v>41758</v>
      </c>
      <c r="L206" s="10">
        <v>41758</v>
      </c>
      <c r="M206" s="11">
        <f t="shared" si="8"/>
        <v>1</v>
      </c>
      <c r="N206" s="11">
        <f t="shared" si="1"/>
        <v>1</v>
      </c>
      <c r="O206" s="8"/>
      <c r="P206" s="8" t="s">
        <v>140</v>
      </c>
    </row>
    <row r="207" spans="1:16" ht="15.75" hidden="1" customHeight="1" x14ac:dyDescent="0.2">
      <c r="A207" s="19" t="s">
        <v>42</v>
      </c>
      <c r="B207" s="19" t="s">
        <v>136</v>
      </c>
      <c r="C207" s="19" t="s">
        <v>142</v>
      </c>
      <c r="D207" s="8" t="s">
        <v>143</v>
      </c>
      <c r="E207" s="9">
        <v>221549</v>
      </c>
      <c r="F207" s="9">
        <v>1045193</v>
      </c>
      <c r="G207" s="9">
        <v>9.4461829999999996</v>
      </c>
      <c r="H207" s="9">
        <v>-83.535749999999993</v>
      </c>
      <c r="I207" s="19">
        <v>2858</v>
      </c>
      <c r="J207" s="19" t="s">
        <v>20</v>
      </c>
      <c r="K207" s="10">
        <v>41774</v>
      </c>
      <c r="L207" s="10">
        <v>41774</v>
      </c>
      <c r="M207" s="11">
        <f t="shared" si="8"/>
        <v>1</v>
      </c>
      <c r="N207" s="11">
        <f t="shared" si="1"/>
        <v>1</v>
      </c>
      <c r="O207" s="8"/>
      <c r="P207" s="8" t="s">
        <v>143</v>
      </c>
    </row>
    <row r="208" spans="1:16" ht="15.75" hidden="1" customHeight="1" x14ac:dyDescent="0.2">
      <c r="A208" s="19" t="s">
        <v>42</v>
      </c>
      <c r="B208" s="19" t="s">
        <v>136</v>
      </c>
      <c r="C208" s="19" t="s">
        <v>171</v>
      </c>
      <c r="D208" s="8" t="s">
        <v>147</v>
      </c>
      <c r="E208" s="9">
        <v>224433</v>
      </c>
      <c r="F208" s="9">
        <v>1043313</v>
      </c>
      <c r="G208" s="9">
        <v>9.4293829999999996</v>
      </c>
      <c r="H208" s="9">
        <v>-83.509383</v>
      </c>
      <c r="I208" s="19">
        <v>3113</v>
      </c>
      <c r="J208" s="19" t="s">
        <v>26</v>
      </c>
      <c r="K208" s="10">
        <v>41637</v>
      </c>
      <c r="L208" s="10">
        <v>41795</v>
      </c>
      <c r="M208" s="11">
        <f t="shared" si="8"/>
        <v>159</v>
      </c>
      <c r="N208" s="11">
        <f t="shared" si="1"/>
        <v>159</v>
      </c>
      <c r="O208" s="8"/>
      <c r="P208" s="8" t="s">
        <v>147</v>
      </c>
    </row>
    <row r="209" spans="1:16" ht="15.75" hidden="1" customHeight="1" x14ac:dyDescent="0.2">
      <c r="A209" s="19" t="s">
        <v>42</v>
      </c>
      <c r="B209" s="19" t="s">
        <v>136</v>
      </c>
      <c r="C209" s="19" t="s">
        <v>171</v>
      </c>
      <c r="D209" s="8" t="s">
        <v>148</v>
      </c>
      <c r="E209" s="9">
        <v>224828</v>
      </c>
      <c r="F209" s="9">
        <v>1045786</v>
      </c>
      <c r="G209" s="9">
        <v>9.4517500000000005</v>
      </c>
      <c r="H209" s="9">
        <v>-83.505949999999999</v>
      </c>
      <c r="I209" s="19">
        <v>3365</v>
      </c>
      <c r="J209" s="19" t="s">
        <v>26</v>
      </c>
      <c r="K209" s="10">
        <v>41638</v>
      </c>
      <c r="L209" s="10">
        <v>41658</v>
      </c>
      <c r="M209" s="11">
        <f t="shared" si="8"/>
        <v>21</v>
      </c>
      <c r="N209" s="11">
        <f t="shared" si="1"/>
        <v>21</v>
      </c>
      <c r="O209" s="8"/>
      <c r="P209" s="8" t="s">
        <v>148</v>
      </c>
    </row>
    <row r="210" spans="1:16" ht="15.75" hidden="1" customHeight="1" x14ac:dyDescent="0.2">
      <c r="A210" s="19" t="s">
        <v>42</v>
      </c>
      <c r="B210" s="7" t="s">
        <v>136</v>
      </c>
      <c r="C210" s="19" t="s">
        <v>137</v>
      </c>
      <c r="D210" s="8" t="s">
        <v>164</v>
      </c>
      <c r="E210" s="9">
        <v>218882</v>
      </c>
      <c r="F210" s="9">
        <v>1054826</v>
      </c>
      <c r="G210" s="9">
        <v>9.4629999999999992</v>
      </c>
      <c r="H210" s="9">
        <v>-83.501317</v>
      </c>
      <c r="I210" s="19">
        <v>3265</v>
      </c>
      <c r="J210" s="19" t="s">
        <v>26</v>
      </c>
      <c r="K210" s="10">
        <v>41639</v>
      </c>
      <c r="L210" s="10">
        <v>41748</v>
      </c>
      <c r="M210" s="11">
        <v>110</v>
      </c>
      <c r="N210" s="11">
        <f t="shared" si="1"/>
        <v>110</v>
      </c>
      <c r="O210" s="8" t="s">
        <v>172</v>
      </c>
      <c r="P210" s="8" t="s">
        <v>145</v>
      </c>
    </row>
    <row r="211" spans="1:16" ht="15.75" hidden="1" customHeight="1" x14ac:dyDescent="0.2">
      <c r="A211" s="19" t="s">
        <v>42</v>
      </c>
      <c r="B211" s="7" t="s">
        <v>136</v>
      </c>
      <c r="C211" s="19" t="s">
        <v>149</v>
      </c>
      <c r="D211" s="8" t="s">
        <v>152</v>
      </c>
      <c r="E211" s="9">
        <v>225594</v>
      </c>
      <c r="F211" s="9">
        <v>1039301</v>
      </c>
      <c r="G211" s="9">
        <v>9.3932020000000005</v>
      </c>
      <c r="H211" s="9">
        <v>-83.498549999999994</v>
      </c>
      <c r="I211" s="19">
        <v>2494</v>
      </c>
      <c r="J211" s="19" t="s">
        <v>26</v>
      </c>
      <c r="K211" s="10"/>
      <c r="L211" s="10"/>
      <c r="M211" s="11">
        <f t="shared" ref="M211:M249" si="9">IF(ISBLANK(K211),0,IF(ISBLANK(L211),0,L211-K211+1))</f>
        <v>0</v>
      </c>
      <c r="N211" s="11">
        <f t="shared" si="1"/>
        <v>0</v>
      </c>
      <c r="O211" s="8"/>
      <c r="P211" s="8" t="s">
        <v>152</v>
      </c>
    </row>
    <row r="212" spans="1:16" ht="15.75" hidden="1" customHeight="1" x14ac:dyDescent="0.2">
      <c r="A212" s="19" t="s">
        <v>42</v>
      </c>
      <c r="B212" s="7" t="s">
        <v>136</v>
      </c>
      <c r="C212" s="19" t="s">
        <v>171</v>
      </c>
      <c r="D212" s="8" t="s">
        <v>153</v>
      </c>
      <c r="E212" s="9">
        <v>224968</v>
      </c>
      <c r="F212" s="9">
        <v>1040580</v>
      </c>
      <c r="G212" s="9">
        <v>9.4047169999999998</v>
      </c>
      <c r="H212" s="9">
        <v>-83.504333000000003</v>
      </c>
      <c r="I212" s="19">
        <v>3029</v>
      </c>
      <c r="J212" s="19" t="s">
        <v>26</v>
      </c>
      <c r="K212" s="10">
        <v>41496</v>
      </c>
      <c r="L212" s="10">
        <v>41678</v>
      </c>
      <c r="M212" s="11">
        <f t="shared" si="9"/>
        <v>183</v>
      </c>
      <c r="N212" s="11">
        <f t="shared" si="1"/>
        <v>183</v>
      </c>
      <c r="O212" s="8"/>
      <c r="P212" s="8" t="s">
        <v>153</v>
      </c>
    </row>
    <row r="213" spans="1:16" ht="15.75" hidden="1" customHeight="1" x14ac:dyDescent="0.2">
      <c r="A213" s="19" t="s">
        <v>130</v>
      </c>
      <c r="B213" s="7" t="s">
        <v>136</v>
      </c>
      <c r="C213" s="19" t="s">
        <v>137</v>
      </c>
      <c r="D213" s="8" t="s">
        <v>138</v>
      </c>
      <c r="E213" s="9">
        <v>216187</v>
      </c>
      <c r="F213" s="9">
        <v>1055367</v>
      </c>
      <c r="G213" s="9">
        <v>9.5377519999999993</v>
      </c>
      <c r="H213" s="9">
        <v>-83.585234</v>
      </c>
      <c r="I213" s="19">
        <v>2938</v>
      </c>
      <c r="J213" s="19" t="s">
        <v>170</v>
      </c>
      <c r="K213" s="7"/>
      <c r="L213" s="7"/>
      <c r="M213" s="11">
        <f t="shared" si="9"/>
        <v>0</v>
      </c>
      <c r="N213" s="11">
        <f t="shared" si="1"/>
        <v>0</v>
      </c>
      <c r="O213" s="8"/>
      <c r="P213" s="8" t="s">
        <v>138</v>
      </c>
    </row>
    <row r="214" spans="1:16" ht="15.75" hidden="1" customHeight="1" x14ac:dyDescent="0.2">
      <c r="A214" s="19" t="s">
        <v>130</v>
      </c>
      <c r="B214" s="7" t="s">
        <v>136</v>
      </c>
      <c r="C214" s="19" t="s">
        <v>137</v>
      </c>
      <c r="D214" s="8" t="s">
        <v>162</v>
      </c>
      <c r="E214" s="9">
        <v>215945</v>
      </c>
      <c r="F214" s="9">
        <v>1054550</v>
      </c>
      <c r="G214" s="9">
        <v>9.4565000000000001</v>
      </c>
      <c r="H214" s="9">
        <v>2.3887999999999998</v>
      </c>
      <c r="I214" s="19">
        <v>2694</v>
      </c>
      <c r="J214" s="19" t="s">
        <v>170</v>
      </c>
      <c r="K214" s="7"/>
      <c r="L214" s="7"/>
      <c r="M214" s="11">
        <f t="shared" si="9"/>
        <v>0</v>
      </c>
      <c r="N214" s="11">
        <f t="shared" si="1"/>
        <v>0</v>
      </c>
      <c r="O214" s="8"/>
      <c r="P214" s="8" t="s">
        <v>140</v>
      </c>
    </row>
    <row r="215" spans="1:16" ht="15.75" hidden="1" customHeight="1" x14ac:dyDescent="0.2">
      <c r="A215" s="19" t="s">
        <v>130</v>
      </c>
      <c r="B215" s="7" t="s">
        <v>136</v>
      </c>
      <c r="C215" s="19" t="s">
        <v>142</v>
      </c>
      <c r="D215" s="8" t="s">
        <v>143</v>
      </c>
      <c r="E215" s="9">
        <v>221549</v>
      </c>
      <c r="F215" s="9">
        <v>1045193</v>
      </c>
      <c r="G215" s="9">
        <v>9.4461829999999996</v>
      </c>
      <c r="H215" s="9">
        <v>-83.535749999999993</v>
      </c>
      <c r="I215" s="19">
        <v>2858</v>
      </c>
      <c r="J215" s="19" t="s">
        <v>20</v>
      </c>
      <c r="K215" s="7"/>
      <c r="L215" s="7"/>
      <c r="M215" s="11">
        <f t="shared" si="9"/>
        <v>0</v>
      </c>
      <c r="N215" s="11">
        <f t="shared" si="1"/>
        <v>0</v>
      </c>
      <c r="O215" s="8"/>
      <c r="P215" s="8" t="s">
        <v>143</v>
      </c>
    </row>
    <row r="216" spans="1:16" ht="15.75" hidden="1" customHeight="1" x14ac:dyDescent="0.2">
      <c r="A216" s="19" t="s">
        <v>130</v>
      </c>
      <c r="B216" s="7" t="s">
        <v>136</v>
      </c>
      <c r="C216" s="19" t="s">
        <v>142</v>
      </c>
      <c r="D216" s="8" t="s">
        <v>144</v>
      </c>
      <c r="E216" s="9">
        <v>222460</v>
      </c>
      <c r="F216" s="9">
        <v>1044781</v>
      </c>
      <c r="G216" s="9">
        <v>9.4425170000000005</v>
      </c>
      <c r="H216" s="9">
        <v>-83.527433000000002</v>
      </c>
      <c r="I216" s="19">
        <v>3107</v>
      </c>
      <c r="J216" s="19" t="s">
        <v>20</v>
      </c>
      <c r="K216" s="7"/>
      <c r="L216" s="7"/>
      <c r="M216" s="11">
        <f t="shared" si="9"/>
        <v>0</v>
      </c>
      <c r="N216" s="11">
        <f t="shared" si="1"/>
        <v>0</v>
      </c>
      <c r="O216" s="8"/>
      <c r="P216" s="8" t="s">
        <v>144</v>
      </c>
    </row>
    <row r="217" spans="1:16" ht="15.75" hidden="1" customHeight="1" x14ac:dyDescent="0.2">
      <c r="A217" s="19" t="s">
        <v>130</v>
      </c>
      <c r="B217" s="7" t="s">
        <v>136</v>
      </c>
      <c r="C217" s="19" t="s">
        <v>137</v>
      </c>
      <c r="D217" s="15" t="s">
        <v>145</v>
      </c>
      <c r="E217" s="9">
        <v>218882</v>
      </c>
      <c r="F217" s="9">
        <v>1054826</v>
      </c>
      <c r="G217" s="9">
        <v>9.5330499999999994</v>
      </c>
      <c r="H217" s="9">
        <v>-83.560666999999995</v>
      </c>
      <c r="I217" s="19">
        <v>3265</v>
      </c>
      <c r="J217" s="19" t="s">
        <v>26</v>
      </c>
      <c r="K217" s="7"/>
      <c r="L217" s="7"/>
      <c r="M217" s="11">
        <f t="shared" si="9"/>
        <v>0</v>
      </c>
      <c r="N217" s="11">
        <f t="shared" si="1"/>
        <v>0</v>
      </c>
      <c r="O217" s="8"/>
      <c r="P217" s="8" t="s">
        <v>145</v>
      </c>
    </row>
    <row r="218" spans="1:16" ht="15.75" hidden="1" customHeight="1" x14ac:dyDescent="0.2">
      <c r="A218" s="19" t="s">
        <v>130</v>
      </c>
      <c r="B218" s="19" t="s">
        <v>136</v>
      </c>
      <c r="C218" s="19" t="s">
        <v>146</v>
      </c>
      <c r="D218" s="8" t="s">
        <v>147</v>
      </c>
      <c r="E218" s="9">
        <v>224433</v>
      </c>
      <c r="F218" s="9">
        <v>1043313</v>
      </c>
      <c r="G218" s="9">
        <v>9.4293829999999996</v>
      </c>
      <c r="H218" s="9">
        <v>-83.509383</v>
      </c>
      <c r="I218" s="19">
        <v>3113</v>
      </c>
      <c r="J218" s="19" t="s">
        <v>26</v>
      </c>
      <c r="K218" s="10">
        <v>42287</v>
      </c>
      <c r="L218" s="10">
        <v>42450</v>
      </c>
      <c r="M218" s="11">
        <f t="shared" si="9"/>
        <v>164</v>
      </c>
      <c r="N218" s="11">
        <f t="shared" si="1"/>
        <v>164</v>
      </c>
      <c r="O218" s="8"/>
      <c r="P218" s="8" t="s">
        <v>147</v>
      </c>
    </row>
    <row r="219" spans="1:16" ht="15.75" hidden="1" customHeight="1" x14ac:dyDescent="0.2">
      <c r="A219" s="19" t="s">
        <v>130</v>
      </c>
      <c r="B219" s="19" t="s">
        <v>136</v>
      </c>
      <c r="C219" s="19" t="s">
        <v>146</v>
      </c>
      <c r="D219" s="8" t="s">
        <v>148</v>
      </c>
      <c r="E219" s="9">
        <v>224828</v>
      </c>
      <c r="F219" s="9">
        <v>1045786</v>
      </c>
      <c r="G219" s="9">
        <v>9.4517500000000005</v>
      </c>
      <c r="H219" s="9">
        <v>-83.505949999999999</v>
      </c>
      <c r="I219" s="19">
        <v>3365</v>
      </c>
      <c r="J219" s="19" t="s">
        <v>26</v>
      </c>
      <c r="K219" s="10">
        <v>42347</v>
      </c>
      <c r="L219" s="10">
        <v>42378</v>
      </c>
      <c r="M219" s="11">
        <f t="shared" si="9"/>
        <v>32</v>
      </c>
      <c r="N219" s="11">
        <f t="shared" si="1"/>
        <v>32</v>
      </c>
      <c r="O219" s="8"/>
      <c r="P219" s="8" t="s">
        <v>148</v>
      </c>
    </row>
    <row r="220" spans="1:16" ht="15.75" hidden="1" customHeight="1" x14ac:dyDescent="0.2">
      <c r="A220" s="19" t="s">
        <v>130</v>
      </c>
      <c r="B220" s="19" t="s">
        <v>136</v>
      </c>
      <c r="C220" s="19" t="s">
        <v>149</v>
      </c>
      <c r="D220" s="15" t="s">
        <v>150</v>
      </c>
      <c r="E220" s="9">
        <v>225708</v>
      </c>
      <c r="F220" s="9">
        <v>1038833</v>
      </c>
      <c r="G220" s="9">
        <v>9.3875829999999993</v>
      </c>
      <c r="H220" s="9">
        <v>-83.492982999999995</v>
      </c>
      <c r="I220" s="19">
        <v>2243</v>
      </c>
      <c r="K220" s="7"/>
      <c r="L220" s="7"/>
      <c r="M220" s="11">
        <f t="shared" si="9"/>
        <v>0</v>
      </c>
      <c r="N220" s="11">
        <f t="shared" si="1"/>
        <v>0</v>
      </c>
      <c r="O220" s="8"/>
      <c r="P220" s="8" t="s">
        <v>173</v>
      </c>
    </row>
    <row r="221" spans="1:16" ht="15.75" hidden="1" customHeight="1" x14ac:dyDescent="0.2">
      <c r="A221" s="19" t="s">
        <v>130</v>
      </c>
      <c r="B221" s="19" t="s">
        <v>136</v>
      </c>
      <c r="C221" s="19" t="s">
        <v>149</v>
      </c>
      <c r="D221" s="8" t="s">
        <v>152</v>
      </c>
      <c r="E221" s="9">
        <v>225594</v>
      </c>
      <c r="F221" s="9">
        <v>1039301</v>
      </c>
      <c r="G221" s="9">
        <v>9.3932000000000002</v>
      </c>
      <c r="H221" s="9">
        <v>-83.498549999999994</v>
      </c>
      <c r="I221" s="19">
        <v>2494</v>
      </c>
      <c r="J221" s="19" t="s">
        <v>37</v>
      </c>
      <c r="K221" s="7"/>
      <c r="L221" s="7"/>
      <c r="M221" s="11">
        <f t="shared" si="9"/>
        <v>0</v>
      </c>
      <c r="N221" s="11">
        <f t="shared" si="1"/>
        <v>0</v>
      </c>
      <c r="O221" s="8"/>
      <c r="P221" s="8" t="s">
        <v>152</v>
      </c>
    </row>
    <row r="222" spans="1:16" ht="15.75" hidden="1" customHeight="1" x14ac:dyDescent="0.2">
      <c r="A222" s="19" t="s">
        <v>130</v>
      </c>
      <c r="B222" s="19" t="s">
        <v>136</v>
      </c>
      <c r="C222" s="19" t="s">
        <v>146</v>
      </c>
      <c r="D222" s="8" t="s">
        <v>153</v>
      </c>
      <c r="E222" s="9">
        <v>224968</v>
      </c>
      <c r="F222" s="9">
        <v>1040580</v>
      </c>
      <c r="G222" s="9">
        <v>9.4047169999999998</v>
      </c>
      <c r="H222" s="9">
        <v>-83.504333000000003</v>
      </c>
      <c r="I222" s="19">
        <v>3029</v>
      </c>
      <c r="J222" s="19" t="s">
        <v>26</v>
      </c>
      <c r="K222" s="7"/>
      <c r="L222" s="7"/>
      <c r="M222" s="11">
        <f t="shared" si="9"/>
        <v>0</v>
      </c>
      <c r="N222" s="11">
        <f t="shared" si="1"/>
        <v>0</v>
      </c>
      <c r="O222" s="8"/>
      <c r="P222" s="8" t="s">
        <v>153</v>
      </c>
    </row>
    <row r="223" spans="1:16" ht="15.75" hidden="1" customHeight="1" x14ac:dyDescent="0.2">
      <c r="A223" s="19" t="s">
        <v>130</v>
      </c>
      <c r="B223" s="19" t="s">
        <v>136</v>
      </c>
      <c r="C223" s="19" t="s">
        <v>156</v>
      </c>
      <c r="D223" s="8" t="s">
        <v>157</v>
      </c>
      <c r="E223" s="9">
        <v>554363</v>
      </c>
      <c r="F223" s="9">
        <v>1045708</v>
      </c>
      <c r="G223" s="9">
        <v>9.4596400000000003</v>
      </c>
      <c r="H223" s="9">
        <v>-80.504769999999994</v>
      </c>
      <c r="J223" s="19" t="s">
        <v>26</v>
      </c>
      <c r="K223" s="7"/>
      <c r="L223" s="7"/>
      <c r="M223" s="11">
        <f t="shared" si="9"/>
        <v>0</v>
      </c>
      <c r="N223" s="11">
        <f t="shared" si="1"/>
        <v>0</v>
      </c>
      <c r="O223" s="8"/>
      <c r="P223" s="8" t="s">
        <v>157</v>
      </c>
    </row>
    <row r="224" spans="1:16" ht="15.75" hidden="1" customHeight="1" x14ac:dyDescent="0.2">
      <c r="A224" s="19" t="s">
        <v>130</v>
      </c>
      <c r="B224" s="19" t="s">
        <v>136</v>
      </c>
      <c r="C224" s="19" t="s">
        <v>156</v>
      </c>
      <c r="D224" s="8" t="s">
        <v>158</v>
      </c>
      <c r="E224" s="9">
        <v>554363</v>
      </c>
      <c r="F224" s="9">
        <v>1045708</v>
      </c>
      <c r="G224" s="9">
        <v>9.4596400000000003</v>
      </c>
      <c r="H224" s="9">
        <v>-80.504769999999994</v>
      </c>
      <c r="J224" s="19" t="s">
        <v>26</v>
      </c>
      <c r="K224" s="7"/>
      <c r="L224" s="7"/>
      <c r="M224" s="11">
        <f t="shared" si="9"/>
        <v>0</v>
      </c>
      <c r="N224" s="11">
        <f t="shared" si="1"/>
        <v>0</v>
      </c>
      <c r="O224" s="8"/>
      <c r="P224" s="8" t="s">
        <v>158</v>
      </c>
    </row>
    <row r="225" spans="1:16" ht="15.75" hidden="1" customHeight="1" x14ac:dyDescent="0.2">
      <c r="A225" s="19" t="s">
        <v>130</v>
      </c>
      <c r="B225" s="19" t="s">
        <v>136</v>
      </c>
      <c r="C225" s="19" t="s">
        <v>156</v>
      </c>
      <c r="D225" s="8" t="s">
        <v>159</v>
      </c>
      <c r="E225" s="9">
        <v>554363</v>
      </c>
      <c r="F225" s="9">
        <v>1045708</v>
      </c>
      <c r="G225" s="9">
        <v>9.4596400000000003</v>
      </c>
      <c r="H225" s="9">
        <v>-80.504769999999994</v>
      </c>
      <c r="J225" s="19" t="s">
        <v>26</v>
      </c>
      <c r="K225" s="10">
        <v>42370</v>
      </c>
      <c r="L225" s="10">
        <v>42371</v>
      </c>
      <c r="M225" s="11">
        <f t="shared" si="9"/>
        <v>2</v>
      </c>
      <c r="N225" s="11">
        <f t="shared" si="1"/>
        <v>2</v>
      </c>
      <c r="O225" s="8"/>
      <c r="P225" s="8" t="s">
        <v>159</v>
      </c>
    </row>
    <row r="226" spans="1:16" ht="15.75" hidden="1" customHeight="1" x14ac:dyDescent="0.2">
      <c r="A226" s="19" t="s">
        <v>131</v>
      </c>
      <c r="B226" s="19" t="s">
        <v>136</v>
      </c>
      <c r="C226" s="19" t="s">
        <v>142</v>
      </c>
      <c r="D226" s="8" t="s">
        <v>143</v>
      </c>
      <c r="E226" s="9">
        <v>221549</v>
      </c>
      <c r="F226" s="9">
        <v>1045193</v>
      </c>
      <c r="G226" s="9">
        <v>9.4461829999999996</v>
      </c>
      <c r="H226" s="9">
        <v>-83.535749999999993</v>
      </c>
      <c r="I226" s="19">
        <v>2858</v>
      </c>
      <c r="J226" s="19" t="s">
        <v>20</v>
      </c>
      <c r="K226" s="7"/>
      <c r="L226" s="7"/>
      <c r="M226" s="11">
        <f t="shared" si="9"/>
        <v>0</v>
      </c>
      <c r="N226" s="11">
        <f t="shared" si="1"/>
        <v>0</v>
      </c>
      <c r="O226" s="8"/>
      <c r="P226" s="8" t="s">
        <v>143</v>
      </c>
    </row>
    <row r="227" spans="1:16" ht="15.75" hidden="1" customHeight="1" x14ac:dyDescent="0.2">
      <c r="A227" s="19" t="s">
        <v>131</v>
      </c>
      <c r="B227" s="19" t="s">
        <v>136</v>
      </c>
      <c r="C227" s="19" t="s">
        <v>142</v>
      </c>
      <c r="D227" s="8" t="s">
        <v>144</v>
      </c>
      <c r="E227" s="9">
        <v>222460</v>
      </c>
      <c r="F227" s="9">
        <v>1044781</v>
      </c>
      <c r="G227" s="9">
        <v>9.4425170000000005</v>
      </c>
      <c r="H227" s="9">
        <v>-83.527433000000002</v>
      </c>
      <c r="I227" s="19">
        <v>3107</v>
      </c>
      <c r="J227" s="19" t="s">
        <v>20</v>
      </c>
      <c r="K227" s="10">
        <v>42744</v>
      </c>
      <c r="L227" s="10">
        <v>42753</v>
      </c>
      <c r="M227" s="11">
        <f t="shared" si="9"/>
        <v>10</v>
      </c>
      <c r="N227" s="11">
        <f t="shared" si="1"/>
        <v>10</v>
      </c>
      <c r="O227" s="8"/>
      <c r="P227" s="8" t="s">
        <v>144</v>
      </c>
    </row>
    <row r="228" spans="1:16" ht="15.75" hidden="1" customHeight="1" x14ac:dyDescent="0.2">
      <c r="A228" s="19" t="s">
        <v>131</v>
      </c>
      <c r="B228" s="19" t="s">
        <v>136</v>
      </c>
      <c r="C228" s="19" t="s">
        <v>137</v>
      </c>
      <c r="D228" s="15" t="s">
        <v>145</v>
      </c>
      <c r="E228" s="9">
        <v>218882</v>
      </c>
      <c r="F228" s="9">
        <v>1054826</v>
      </c>
      <c r="G228" s="9">
        <v>9.5330499999999994</v>
      </c>
      <c r="H228" s="9">
        <v>-83.560666999999995</v>
      </c>
      <c r="I228" s="19">
        <v>3265</v>
      </c>
      <c r="J228" s="19" t="s">
        <v>26</v>
      </c>
      <c r="K228" s="10">
        <v>42779</v>
      </c>
      <c r="L228" s="10">
        <v>42873</v>
      </c>
      <c r="M228" s="11">
        <f t="shared" si="9"/>
        <v>95</v>
      </c>
      <c r="N228" s="11">
        <f t="shared" si="1"/>
        <v>95</v>
      </c>
      <c r="O228" s="8"/>
      <c r="P228" s="8" t="s">
        <v>145</v>
      </c>
    </row>
    <row r="229" spans="1:16" ht="15.75" hidden="1" customHeight="1" x14ac:dyDescent="0.2">
      <c r="A229" s="19" t="s">
        <v>131</v>
      </c>
      <c r="B229" s="19" t="s">
        <v>136</v>
      </c>
      <c r="C229" s="19" t="s">
        <v>146</v>
      </c>
      <c r="D229" s="8" t="s">
        <v>147</v>
      </c>
      <c r="E229" s="9">
        <v>224433</v>
      </c>
      <c r="F229" s="9">
        <v>1043313</v>
      </c>
      <c r="G229" s="9">
        <v>9.4293829999999996</v>
      </c>
      <c r="H229" s="9">
        <v>-83.509383</v>
      </c>
      <c r="I229" s="19">
        <v>3113</v>
      </c>
      <c r="J229" s="19" t="s">
        <v>26</v>
      </c>
      <c r="K229" s="7"/>
      <c r="L229" s="7"/>
      <c r="M229" s="11">
        <f t="shared" si="9"/>
        <v>0</v>
      </c>
      <c r="N229" s="11">
        <f t="shared" si="1"/>
        <v>0</v>
      </c>
      <c r="O229" s="8"/>
      <c r="P229" s="8" t="s">
        <v>147</v>
      </c>
    </row>
    <row r="230" spans="1:16" ht="15.75" hidden="1" customHeight="1" x14ac:dyDescent="0.2">
      <c r="A230" s="19" t="s">
        <v>131</v>
      </c>
      <c r="B230" s="19" t="s">
        <v>136</v>
      </c>
      <c r="C230" s="19" t="s">
        <v>146</v>
      </c>
      <c r="D230" s="8" t="s">
        <v>148</v>
      </c>
      <c r="E230" s="9">
        <v>224828</v>
      </c>
      <c r="F230" s="9">
        <v>1045786</v>
      </c>
      <c r="G230" s="9">
        <v>9.4517500000000005</v>
      </c>
      <c r="H230" s="9">
        <v>-83.505949999999999</v>
      </c>
      <c r="I230" s="19">
        <v>3365</v>
      </c>
      <c r="J230" s="19" t="s">
        <v>26</v>
      </c>
      <c r="K230" s="10">
        <v>42762</v>
      </c>
      <c r="L230" s="10">
        <v>42781</v>
      </c>
      <c r="M230" s="11">
        <f t="shared" si="9"/>
        <v>20</v>
      </c>
      <c r="N230" s="11">
        <f t="shared" si="1"/>
        <v>20</v>
      </c>
      <c r="O230" s="8"/>
      <c r="P230" s="8" t="s">
        <v>148</v>
      </c>
    </row>
    <row r="231" spans="1:16" ht="15.75" hidden="1" customHeight="1" x14ac:dyDescent="0.2">
      <c r="A231" s="19" t="s">
        <v>131</v>
      </c>
      <c r="B231" s="19" t="s">
        <v>136</v>
      </c>
      <c r="C231" s="19" t="s">
        <v>149</v>
      </c>
      <c r="D231" s="15" t="s">
        <v>150</v>
      </c>
      <c r="E231" s="9">
        <v>225708</v>
      </c>
      <c r="F231" s="9">
        <v>1038833</v>
      </c>
      <c r="G231" s="9">
        <v>9.3875829999999993</v>
      </c>
      <c r="H231" s="9">
        <v>-83.492982999999995</v>
      </c>
      <c r="I231" s="19">
        <v>2243</v>
      </c>
      <c r="K231" s="7"/>
      <c r="L231" s="7"/>
      <c r="M231" s="11">
        <f t="shared" si="9"/>
        <v>0</v>
      </c>
      <c r="N231" s="11">
        <f t="shared" si="1"/>
        <v>0</v>
      </c>
      <c r="O231" s="8"/>
      <c r="P231" s="8" t="s">
        <v>151</v>
      </c>
    </row>
    <row r="232" spans="1:16" ht="15.75" hidden="1" customHeight="1" x14ac:dyDescent="0.2">
      <c r="A232" s="19" t="s">
        <v>131</v>
      </c>
      <c r="B232" s="19" t="s">
        <v>136</v>
      </c>
      <c r="C232" s="19" t="s">
        <v>149</v>
      </c>
      <c r="D232" s="8" t="s">
        <v>152</v>
      </c>
      <c r="E232" s="9">
        <v>225594</v>
      </c>
      <c r="F232" s="9">
        <v>1039301</v>
      </c>
      <c r="G232" s="9">
        <v>9.3932000000000002</v>
      </c>
      <c r="H232" s="9">
        <v>-83.498549999999994</v>
      </c>
      <c r="I232" s="19">
        <v>2494</v>
      </c>
      <c r="J232" s="19" t="s">
        <v>37</v>
      </c>
      <c r="K232" s="7"/>
      <c r="L232" s="7"/>
      <c r="M232" s="11">
        <f t="shared" si="9"/>
        <v>0</v>
      </c>
      <c r="N232" s="11">
        <f t="shared" si="1"/>
        <v>0</v>
      </c>
      <c r="O232" s="8"/>
      <c r="P232" s="8" t="s">
        <v>152</v>
      </c>
    </row>
    <row r="233" spans="1:16" ht="15.75" hidden="1" customHeight="1" x14ac:dyDescent="0.2">
      <c r="A233" s="19" t="s">
        <v>131</v>
      </c>
      <c r="B233" s="19" t="s">
        <v>136</v>
      </c>
      <c r="C233" s="19" t="s">
        <v>146</v>
      </c>
      <c r="D233" s="8" t="s">
        <v>153</v>
      </c>
      <c r="E233" s="9">
        <v>224968</v>
      </c>
      <c r="F233" s="9">
        <v>1040580</v>
      </c>
      <c r="G233" s="9">
        <v>9.4047169999999998</v>
      </c>
      <c r="H233" s="9">
        <v>-83.504333000000003</v>
      </c>
      <c r="I233" s="19">
        <v>3029</v>
      </c>
      <c r="J233" s="19" t="s">
        <v>26</v>
      </c>
      <c r="K233" s="10">
        <v>42736</v>
      </c>
      <c r="L233" s="10">
        <v>42846</v>
      </c>
      <c r="M233" s="11">
        <f t="shared" si="9"/>
        <v>111</v>
      </c>
      <c r="N233" s="11">
        <f t="shared" si="1"/>
        <v>111</v>
      </c>
      <c r="O233" s="8"/>
      <c r="P233" s="8" t="s">
        <v>153</v>
      </c>
    </row>
    <row r="234" spans="1:16" ht="15.75" hidden="1" customHeight="1" x14ac:dyDescent="0.2">
      <c r="A234" s="19" t="s">
        <v>131</v>
      </c>
      <c r="B234" s="19" t="s">
        <v>136</v>
      </c>
      <c r="C234" s="19" t="s">
        <v>156</v>
      </c>
      <c r="D234" s="8" t="s">
        <v>157</v>
      </c>
      <c r="E234" s="9">
        <v>554363</v>
      </c>
      <c r="F234" s="9">
        <v>1045708</v>
      </c>
      <c r="G234" s="9">
        <v>9.4596400000000003</v>
      </c>
      <c r="H234" s="9">
        <v>-80.504769999999994</v>
      </c>
      <c r="J234" s="19" t="s">
        <v>26</v>
      </c>
      <c r="K234" s="7"/>
      <c r="L234" s="7"/>
      <c r="M234" s="11">
        <f t="shared" si="9"/>
        <v>0</v>
      </c>
      <c r="N234" s="11">
        <f t="shared" si="1"/>
        <v>0</v>
      </c>
      <c r="O234" s="8"/>
      <c r="P234" s="8" t="s">
        <v>157</v>
      </c>
    </row>
    <row r="235" spans="1:16" ht="15.75" hidden="1" customHeight="1" x14ac:dyDescent="0.2">
      <c r="A235" s="19" t="s">
        <v>131</v>
      </c>
      <c r="B235" s="19" t="s">
        <v>136</v>
      </c>
      <c r="C235" s="19" t="s">
        <v>156</v>
      </c>
      <c r="D235" s="8" t="s">
        <v>158</v>
      </c>
      <c r="E235" s="9">
        <v>554363</v>
      </c>
      <c r="F235" s="9">
        <v>1045708</v>
      </c>
      <c r="G235" s="9">
        <v>9.4596400000000003</v>
      </c>
      <c r="H235" s="9">
        <v>-80.504769999999994</v>
      </c>
      <c r="J235" s="19" t="s">
        <v>26</v>
      </c>
      <c r="M235" s="11">
        <f t="shared" si="9"/>
        <v>0</v>
      </c>
      <c r="N235" s="11">
        <f t="shared" si="1"/>
        <v>0</v>
      </c>
      <c r="O235" s="8"/>
      <c r="P235" s="8" t="s">
        <v>158</v>
      </c>
    </row>
    <row r="236" spans="1:16" ht="15.75" hidden="1" customHeight="1" x14ac:dyDescent="0.2">
      <c r="A236" s="19" t="s">
        <v>131</v>
      </c>
      <c r="B236" s="19" t="s">
        <v>136</v>
      </c>
      <c r="C236" s="19" t="s">
        <v>156</v>
      </c>
      <c r="D236" s="8" t="s">
        <v>159</v>
      </c>
      <c r="E236" s="9">
        <v>554363</v>
      </c>
      <c r="F236" s="9">
        <v>1045708</v>
      </c>
      <c r="G236" s="9">
        <v>9.4596400000000003</v>
      </c>
      <c r="H236" s="9">
        <v>-80.504769999999994</v>
      </c>
      <c r="J236" s="19" t="s">
        <v>26</v>
      </c>
      <c r="K236" s="10">
        <v>42736</v>
      </c>
      <c r="L236" s="10">
        <v>42737</v>
      </c>
      <c r="M236" s="11">
        <f t="shared" si="9"/>
        <v>2</v>
      </c>
      <c r="N236" s="11">
        <f t="shared" si="1"/>
        <v>2</v>
      </c>
      <c r="O236" s="8"/>
      <c r="P236" s="8" t="s">
        <v>159</v>
      </c>
    </row>
    <row r="237" spans="1:16" ht="15.75" hidden="1" customHeight="1" x14ac:dyDescent="0.2">
      <c r="A237" s="19" t="s">
        <v>132</v>
      </c>
      <c r="B237" s="19" t="s">
        <v>136</v>
      </c>
      <c r="C237" s="19" t="s">
        <v>137</v>
      </c>
      <c r="D237" s="8" t="s">
        <v>138</v>
      </c>
      <c r="E237" s="9">
        <v>216187</v>
      </c>
      <c r="F237" s="9">
        <v>1055367</v>
      </c>
      <c r="G237" s="9">
        <v>9.5377519999999993</v>
      </c>
      <c r="H237" s="9">
        <v>-83.585234</v>
      </c>
      <c r="I237" s="19">
        <v>2938</v>
      </c>
      <c r="J237" s="19" t="s">
        <v>20</v>
      </c>
      <c r="M237" s="11">
        <f t="shared" si="9"/>
        <v>0</v>
      </c>
      <c r="N237" s="11">
        <f t="shared" si="1"/>
        <v>0</v>
      </c>
      <c r="O237" s="8"/>
      <c r="P237" s="8" t="s">
        <v>138</v>
      </c>
    </row>
    <row r="238" spans="1:16" ht="15.75" hidden="1" customHeight="1" x14ac:dyDescent="0.2">
      <c r="A238" s="19" t="s">
        <v>132</v>
      </c>
      <c r="B238" s="19" t="s">
        <v>136</v>
      </c>
      <c r="C238" s="19" t="s">
        <v>137</v>
      </c>
      <c r="D238" s="8" t="s">
        <v>162</v>
      </c>
      <c r="E238" s="9">
        <v>215945</v>
      </c>
      <c r="F238" s="9">
        <v>1054550</v>
      </c>
      <c r="G238" s="9">
        <v>9.4565000000000001</v>
      </c>
      <c r="H238" s="9">
        <v>2.3887999999999998</v>
      </c>
      <c r="I238" s="19">
        <v>2694</v>
      </c>
      <c r="J238" s="19" t="s">
        <v>20</v>
      </c>
      <c r="K238" s="7"/>
      <c r="L238" s="7"/>
      <c r="M238" s="11">
        <f t="shared" si="9"/>
        <v>0</v>
      </c>
      <c r="N238" s="11">
        <f t="shared" si="1"/>
        <v>0</v>
      </c>
      <c r="O238" s="8"/>
      <c r="P238" s="8" t="s">
        <v>140</v>
      </c>
    </row>
    <row r="239" spans="1:16" ht="15.75" hidden="1" customHeight="1" x14ac:dyDescent="0.2">
      <c r="A239" s="19" t="s">
        <v>132</v>
      </c>
      <c r="B239" s="19" t="s">
        <v>136</v>
      </c>
      <c r="C239" s="19" t="s">
        <v>142</v>
      </c>
      <c r="D239" s="8" t="s">
        <v>143</v>
      </c>
      <c r="E239" s="9">
        <v>221549</v>
      </c>
      <c r="F239" s="9">
        <v>1045193</v>
      </c>
      <c r="G239" s="9">
        <v>9.4461829999999996</v>
      </c>
      <c r="H239" s="9">
        <v>-83.535749999999993</v>
      </c>
      <c r="I239" s="19">
        <v>2858</v>
      </c>
      <c r="J239" s="19" t="s">
        <v>26</v>
      </c>
      <c r="K239" s="7"/>
      <c r="L239" s="7"/>
      <c r="M239" s="11">
        <f t="shared" si="9"/>
        <v>0</v>
      </c>
      <c r="N239" s="11">
        <f t="shared" si="1"/>
        <v>0</v>
      </c>
      <c r="O239" s="8"/>
      <c r="P239" s="8" t="s">
        <v>143</v>
      </c>
    </row>
    <row r="240" spans="1:16" ht="15.75" hidden="1" customHeight="1" x14ac:dyDescent="0.2">
      <c r="A240" s="19" t="s">
        <v>132</v>
      </c>
      <c r="B240" s="19" t="s">
        <v>136</v>
      </c>
      <c r="C240" s="19" t="s">
        <v>142</v>
      </c>
      <c r="D240" s="8" t="s">
        <v>144</v>
      </c>
      <c r="E240" s="9">
        <v>222460</v>
      </c>
      <c r="F240" s="9">
        <v>1044781</v>
      </c>
      <c r="G240" s="9">
        <v>9.4425170000000005</v>
      </c>
      <c r="H240" s="9">
        <v>-83.527433000000002</v>
      </c>
      <c r="I240" s="19">
        <v>3107</v>
      </c>
      <c r="J240" s="19" t="s">
        <v>26</v>
      </c>
      <c r="K240" s="7"/>
      <c r="L240" s="7"/>
      <c r="M240" s="11">
        <f t="shared" si="9"/>
        <v>0</v>
      </c>
      <c r="N240" s="11">
        <f t="shared" si="1"/>
        <v>0</v>
      </c>
      <c r="O240" s="8"/>
      <c r="P240" s="8" t="s">
        <v>144</v>
      </c>
    </row>
    <row r="241" spans="1:16" ht="15.75" hidden="1" customHeight="1" x14ac:dyDescent="0.2">
      <c r="A241" s="19" t="s">
        <v>132</v>
      </c>
      <c r="B241" s="19" t="s">
        <v>136</v>
      </c>
      <c r="C241" s="19" t="s">
        <v>137</v>
      </c>
      <c r="D241" s="15" t="s">
        <v>145</v>
      </c>
      <c r="E241" s="9">
        <v>218882</v>
      </c>
      <c r="F241" s="9">
        <v>1054826</v>
      </c>
      <c r="G241" s="9">
        <v>9.5330499999999994</v>
      </c>
      <c r="H241" s="9">
        <v>-83.560666999999995</v>
      </c>
      <c r="I241" s="19">
        <v>3265</v>
      </c>
      <c r="J241" s="19" t="s">
        <v>26</v>
      </c>
      <c r="K241" s="7"/>
      <c r="L241" s="7"/>
      <c r="M241" s="11">
        <f t="shared" si="9"/>
        <v>0</v>
      </c>
      <c r="N241" s="11">
        <f t="shared" si="1"/>
        <v>0</v>
      </c>
      <c r="O241" s="8"/>
      <c r="P241" s="8" t="s">
        <v>145</v>
      </c>
    </row>
    <row r="242" spans="1:16" ht="15.75" hidden="1" customHeight="1" x14ac:dyDescent="0.2">
      <c r="A242" s="19" t="s">
        <v>132</v>
      </c>
      <c r="B242" s="19" t="s">
        <v>136</v>
      </c>
      <c r="C242" s="19" t="s">
        <v>146</v>
      </c>
      <c r="D242" s="8" t="s">
        <v>147</v>
      </c>
      <c r="E242" s="9">
        <v>224433</v>
      </c>
      <c r="F242" s="9">
        <v>1043313</v>
      </c>
      <c r="G242" s="9">
        <v>9.4293829999999996</v>
      </c>
      <c r="H242" s="9">
        <v>-83.509383</v>
      </c>
      <c r="I242" s="19">
        <v>3113</v>
      </c>
      <c r="J242" s="19" t="s">
        <v>37</v>
      </c>
      <c r="K242" s="7"/>
      <c r="L242" s="7"/>
      <c r="M242" s="11">
        <f t="shared" si="9"/>
        <v>0</v>
      </c>
      <c r="N242" s="11">
        <f t="shared" si="1"/>
        <v>0</v>
      </c>
      <c r="O242" s="8"/>
      <c r="P242" s="8" t="s">
        <v>147</v>
      </c>
    </row>
    <row r="243" spans="1:16" ht="15.75" hidden="1" customHeight="1" x14ac:dyDescent="0.2">
      <c r="A243" s="19" t="s">
        <v>132</v>
      </c>
      <c r="B243" s="19" t="s">
        <v>136</v>
      </c>
      <c r="C243" s="19" t="s">
        <v>146</v>
      </c>
      <c r="D243" s="8" t="s">
        <v>148</v>
      </c>
      <c r="E243" s="9">
        <v>224828</v>
      </c>
      <c r="F243" s="9">
        <v>1045786</v>
      </c>
      <c r="G243" s="9">
        <v>9.4517500000000005</v>
      </c>
      <c r="H243" s="9">
        <v>-83.505949999999999</v>
      </c>
      <c r="I243" s="19">
        <v>3365</v>
      </c>
      <c r="J243" s="19" t="s">
        <v>26</v>
      </c>
      <c r="K243" s="7"/>
      <c r="L243" s="7"/>
      <c r="M243" s="11">
        <f t="shared" si="9"/>
        <v>0</v>
      </c>
      <c r="N243" s="11">
        <f t="shared" si="1"/>
        <v>0</v>
      </c>
      <c r="O243" s="8"/>
      <c r="P243" s="8" t="s">
        <v>148</v>
      </c>
    </row>
    <row r="244" spans="1:16" ht="15.75" hidden="1" customHeight="1" x14ac:dyDescent="0.2">
      <c r="A244" s="19" t="s">
        <v>132</v>
      </c>
      <c r="B244" s="19" t="s">
        <v>136</v>
      </c>
      <c r="C244" s="19" t="s">
        <v>149</v>
      </c>
      <c r="D244" s="15" t="s">
        <v>150</v>
      </c>
      <c r="E244" s="9">
        <v>225708</v>
      </c>
      <c r="F244" s="9">
        <v>1038833</v>
      </c>
      <c r="G244" s="9">
        <v>9.3875829999999993</v>
      </c>
      <c r="H244" s="9">
        <v>-83.492982999999995</v>
      </c>
      <c r="I244" s="19">
        <v>2243</v>
      </c>
      <c r="J244" s="19" t="s">
        <v>26</v>
      </c>
      <c r="K244" s="7"/>
      <c r="L244" s="7"/>
      <c r="M244" s="11">
        <f t="shared" si="9"/>
        <v>0</v>
      </c>
      <c r="N244" s="11">
        <f t="shared" si="1"/>
        <v>0</v>
      </c>
      <c r="O244" s="8"/>
      <c r="P244" s="8" t="s">
        <v>173</v>
      </c>
    </row>
    <row r="245" spans="1:16" ht="15.75" hidden="1" customHeight="1" x14ac:dyDescent="0.2">
      <c r="A245" s="19" t="s">
        <v>132</v>
      </c>
      <c r="B245" s="19" t="s">
        <v>136</v>
      </c>
      <c r="C245" s="19" t="s">
        <v>149</v>
      </c>
      <c r="D245" s="8" t="s">
        <v>152</v>
      </c>
      <c r="E245" s="9">
        <v>225594</v>
      </c>
      <c r="F245" s="9">
        <v>1039301</v>
      </c>
      <c r="G245" s="9">
        <v>9.3932000000000002</v>
      </c>
      <c r="H245" s="9">
        <v>-83.498549999999994</v>
      </c>
      <c r="I245" s="19">
        <v>2494</v>
      </c>
      <c r="J245" s="19" t="s">
        <v>26</v>
      </c>
      <c r="K245" s="7"/>
      <c r="L245" s="7"/>
      <c r="M245" s="11">
        <f t="shared" si="9"/>
        <v>0</v>
      </c>
      <c r="N245" s="11">
        <f t="shared" si="1"/>
        <v>0</v>
      </c>
      <c r="O245" s="8"/>
      <c r="P245" s="8" t="s">
        <v>152</v>
      </c>
    </row>
    <row r="246" spans="1:16" ht="15.75" hidden="1" customHeight="1" x14ac:dyDescent="0.2">
      <c r="A246" s="19" t="s">
        <v>132</v>
      </c>
      <c r="B246" s="19" t="s">
        <v>136</v>
      </c>
      <c r="C246" s="19" t="s">
        <v>146</v>
      </c>
      <c r="D246" s="8" t="s">
        <v>153</v>
      </c>
      <c r="E246" s="9">
        <v>224968</v>
      </c>
      <c r="F246" s="9">
        <v>1040580</v>
      </c>
      <c r="G246" s="9">
        <v>9.4047169999999998</v>
      </c>
      <c r="H246" s="9">
        <v>-83.504333000000003</v>
      </c>
      <c r="I246" s="19">
        <v>3029</v>
      </c>
      <c r="J246" s="19" t="s">
        <v>26</v>
      </c>
      <c r="K246" s="7"/>
      <c r="L246" s="7"/>
      <c r="M246" s="11">
        <f t="shared" si="9"/>
        <v>0</v>
      </c>
      <c r="N246" s="11">
        <f t="shared" si="1"/>
        <v>0</v>
      </c>
      <c r="O246" s="8"/>
      <c r="P246" s="8" t="s">
        <v>153</v>
      </c>
    </row>
    <row r="247" spans="1:16" ht="15.75" hidden="1" customHeight="1" x14ac:dyDescent="0.2">
      <c r="A247" s="19" t="s">
        <v>132</v>
      </c>
      <c r="B247" s="19" t="s">
        <v>136</v>
      </c>
      <c r="C247" s="19" t="s">
        <v>156</v>
      </c>
      <c r="D247" s="8" t="s">
        <v>157</v>
      </c>
      <c r="E247" s="9">
        <v>554363</v>
      </c>
      <c r="F247" s="9">
        <v>1045708</v>
      </c>
      <c r="G247" s="9">
        <v>9.4596400000000003</v>
      </c>
      <c r="H247" s="9">
        <v>-80.504769999999994</v>
      </c>
      <c r="J247" s="19" t="s">
        <v>170</v>
      </c>
      <c r="K247" s="7"/>
      <c r="L247" s="7"/>
      <c r="M247" s="11">
        <f t="shared" si="9"/>
        <v>0</v>
      </c>
      <c r="N247" s="11">
        <f t="shared" si="1"/>
        <v>0</v>
      </c>
      <c r="O247" s="8"/>
      <c r="P247" s="8" t="s">
        <v>157</v>
      </c>
    </row>
    <row r="248" spans="1:16" ht="15.75" hidden="1" customHeight="1" x14ac:dyDescent="0.2">
      <c r="A248" s="19" t="s">
        <v>132</v>
      </c>
      <c r="B248" s="19" t="s">
        <v>136</v>
      </c>
      <c r="C248" s="19" t="s">
        <v>156</v>
      </c>
      <c r="D248" s="8" t="s">
        <v>158</v>
      </c>
      <c r="E248" s="9">
        <v>554363</v>
      </c>
      <c r="F248" s="9">
        <v>1045708</v>
      </c>
      <c r="G248" s="9">
        <v>9.4596400000000003</v>
      </c>
      <c r="H248" s="9">
        <v>-80.504769999999994</v>
      </c>
      <c r="J248" s="19" t="s">
        <v>170</v>
      </c>
      <c r="K248" s="7"/>
      <c r="L248" s="7"/>
      <c r="M248" s="11">
        <f t="shared" si="9"/>
        <v>0</v>
      </c>
      <c r="N248" s="11">
        <f t="shared" si="1"/>
        <v>0</v>
      </c>
      <c r="O248" s="8"/>
      <c r="P248" s="8" t="s">
        <v>158</v>
      </c>
    </row>
    <row r="249" spans="1:16" ht="15.75" hidden="1" customHeight="1" x14ac:dyDescent="0.2">
      <c r="A249" s="19" t="s">
        <v>132</v>
      </c>
      <c r="B249" s="7" t="s">
        <v>136</v>
      </c>
      <c r="C249" s="19" t="s">
        <v>156</v>
      </c>
      <c r="D249" s="8" t="s">
        <v>159</v>
      </c>
      <c r="E249" s="9">
        <v>554363</v>
      </c>
      <c r="F249" s="9">
        <v>1045708</v>
      </c>
      <c r="G249" s="9">
        <v>9.4596400000000003</v>
      </c>
      <c r="H249" s="9">
        <v>-80.504769999999994</v>
      </c>
      <c r="J249" s="19" t="s">
        <v>170</v>
      </c>
      <c r="K249" s="7"/>
      <c r="L249" s="7"/>
      <c r="M249" s="11">
        <f t="shared" si="9"/>
        <v>0</v>
      </c>
      <c r="N249" s="11">
        <f t="shared" si="1"/>
        <v>0</v>
      </c>
      <c r="O249" s="8"/>
      <c r="P249" s="8" t="s">
        <v>159</v>
      </c>
    </row>
    <row r="250" spans="1:16" ht="15.75" hidden="1" customHeight="1" x14ac:dyDescent="0.2">
      <c r="A250" s="19" t="s">
        <v>132</v>
      </c>
      <c r="B250" s="7" t="s">
        <v>136</v>
      </c>
      <c r="C250" s="19"/>
      <c r="D250" s="8" t="s">
        <v>174</v>
      </c>
      <c r="E250" s="9">
        <v>263421</v>
      </c>
      <c r="F250" s="9">
        <v>1001250</v>
      </c>
      <c r="G250" s="7">
        <v>9.0515524999999997</v>
      </c>
      <c r="H250" s="7">
        <v>-83.152214439999995</v>
      </c>
      <c r="I250" s="19">
        <v>2938</v>
      </c>
      <c r="K250" s="10">
        <v>43183</v>
      </c>
      <c r="L250" s="10">
        <v>43183</v>
      </c>
      <c r="M250" s="11">
        <v>0</v>
      </c>
      <c r="N250" s="11">
        <f t="shared" si="1"/>
        <v>1</v>
      </c>
      <c r="O250" s="8" t="s">
        <v>175</v>
      </c>
      <c r="P250" s="8" t="s">
        <v>174</v>
      </c>
    </row>
    <row r="251" spans="1:16" ht="15.75" hidden="1" customHeight="1" x14ac:dyDescent="0.2">
      <c r="A251" s="19" t="s">
        <v>132</v>
      </c>
      <c r="B251" s="7" t="s">
        <v>136</v>
      </c>
      <c r="C251" s="7"/>
      <c r="D251" s="8" t="s">
        <v>176</v>
      </c>
      <c r="E251" s="9">
        <v>263421</v>
      </c>
      <c r="F251" s="9">
        <v>1001250</v>
      </c>
      <c r="G251" s="7">
        <v>9.0515524999999997</v>
      </c>
      <c r="H251" s="7">
        <v>-83.152214439999995</v>
      </c>
      <c r="I251" s="19">
        <v>2938</v>
      </c>
      <c r="K251" s="10">
        <v>43206</v>
      </c>
      <c r="L251" s="10">
        <v>43240</v>
      </c>
      <c r="M251" s="11">
        <f t="shared" ref="M251:M252" si="10">IF(ISBLANK(K251),0,IF(ISBLANK(L251),0,L251-K251+1))</f>
        <v>35</v>
      </c>
      <c r="N251" s="11">
        <f t="shared" si="1"/>
        <v>35</v>
      </c>
      <c r="O251" s="8"/>
      <c r="P251" s="8" t="s">
        <v>177</v>
      </c>
    </row>
    <row r="252" spans="1:16" ht="15.75" hidden="1" customHeight="1" x14ac:dyDescent="0.2">
      <c r="A252" s="19" t="s">
        <v>132</v>
      </c>
      <c r="B252" s="7" t="s">
        <v>136</v>
      </c>
      <c r="C252" s="7"/>
      <c r="D252" s="8" t="s">
        <v>178</v>
      </c>
      <c r="E252" s="9">
        <v>270836</v>
      </c>
      <c r="F252" s="9">
        <v>997632</v>
      </c>
      <c r="G252" s="7">
        <v>9.0192388890000004</v>
      </c>
      <c r="H252" s="7">
        <v>-83.08460556</v>
      </c>
      <c r="I252" s="19">
        <v>2694</v>
      </c>
      <c r="K252" s="10">
        <v>43183</v>
      </c>
      <c r="L252" s="10">
        <v>43284</v>
      </c>
      <c r="M252" s="11">
        <f t="shared" si="10"/>
        <v>102</v>
      </c>
      <c r="N252" s="11">
        <f t="shared" si="1"/>
        <v>102</v>
      </c>
      <c r="O252" s="8"/>
      <c r="P252" s="8" t="s">
        <v>178</v>
      </c>
    </row>
    <row r="253" spans="1:16" ht="15.75" hidden="1" customHeight="1" x14ac:dyDescent="0.2">
      <c r="A253" s="19" t="s">
        <v>132</v>
      </c>
      <c r="B253" s="7" t="s">
        <v>136</v>
      </c>
      <c r="C253" s="7"/>
      <c r="D253" s="8" t="s">
        <v>179</v>
      </c>
      <c r="E253" s="9">
        <v>274385</v>
      </c>
      <c r="F253" s="9">
        <v>997604</v>
      </c>
      <c r="G253" s="7">
        <v>9.0191611110000007</v>
      </c>
      <c r="H253" s="7">
        <v>-83.052333329999996</v>
      </c>
      <c r="I253" s="19">
        <v>3265</v>
      </c>
      <c r="K253" s="10">
        <v>43183</v>
      </c>
      <c r="L253" s="10">
        <v>43216</v>
      </c>
      <c r="M253" s="11">
        <v>0</v>
      </c>
      <c r="N253" s="11">
        <f t="shared" si="1"/>
        <v>34</v>
      </c>
      <c r="O253" s="8" t="s">
        <v>180</v>
      </c>
      <c r="P253" s="8" t="s">
        <v>179</v>
      </c>
    </row>
    <row r="254" spans="1:16" ht="15.75" hidden="1" customHeight="1" x14ac:dyDescent="0.2">
      <c r="A254" s="19" t="s">
        <v>132</v>
      </c>
      <c r="B254" s="19" t="s">
        <v>136</v>
      </c>
      <c r="C254" s="19"/>
      <c r="D254" s="8" t="s">
        <v>181</v>
      </c>
      <c r="E254" s="9">
        <v>274385</v>
      </c>
      <c r="F254" s="9">
        <v>997604</v>
      </c>
      <c r="G254" s="7">
        <v>9.0191611110000007</v>
      </c>
      <c r="H254" s="7">
        <v>-83.052333329999996</v>
      </c>
      <c r="I254" s="19">
        <v>3265</v>
      </c>
      <c r="K254" s="10">
        <v>43183</v>
      </c>
      <c r="L254" s="10">
        <v>43284</v>
      </c>
      <c r="M254" s="11">
        <f>IF(ISBLANK(K254),0,IF(ISBLANK(L254),0,L254-K254+1))</f>
        <v>102</v>
      </c>
      <c r="N254" s="11">
        <f t="shared" si="1"/>
        <v>102</v>
      </c>
      <c r="O254" s="8"/>
      <c r="P254" s="8" t="s">
        <v>181</v>
      </c>
    </row>
    <row r="255" spans="1:16" ht="15.75" hidden="1" customHeight="1" x14ac:dyDescent="0.2">
      <c r="A255" s="19" t="s">
        <v>52</v>
      </c>
      <c r="B255" s="19" t="s">
        <v>136</v>
      </c>
      <c r="C255" s="19" t="s">
        <v>142</v>
      </c>
      <c r="D255" s="8" t="s">
        <v>161</v>
      </c>
      <c r="E255" s="9">
        <v>218685</v>
      </c>
      <c r="F255" s="9">
        <v>1046732</v>
      </c>
      <c r="G255" s="9">
        <v>9.4598999999999993</v>
      </c>
      <c r="H255" s="9">
        <v>-83.561920000000001</v>
      </c>
      <c r="I255" s="19">
        <v>2308</v>
      </c>
      <c r="J255" s="19" t="s">
        <v>20</v>
      </c>
      <c r="K255" s="10">
        <v>41086</v>
      </c>
      <c r="L255" s="10">
        <v>41130</v>
      </c>
      <c r="M255" s="11">
        <v>32</v>
      </c>
      <c r="N255" s="11">
        <f t="shared" si="1"/>
        <v>45</v>
      </c>
      <c r="O255" s="8"/>
      <c r="P255" s="8" t="s">
        <v>138</v>
      </c>
    </row>
    <row r="256" spans="1:16" ht="15.75" hidden="1" customHeight="1" x14ac:dyDescent="0.2">
      <c r="A256" s="19" t="s">
        <v>52</v>
      </c>
      <c r="B256" s="19" t="s">
        <v>136</v>
      </c>
      <c r="C256" s="19" t="s">
        <v>142</v>
      </c>
      <c r="D256" s="8" t="s">
        <v>162</v>
      </c>
      <c r="E256" s="9">
        <v>220217</v>
      </c>
      <c r="F256" s="9">
        <v>1046347</v>
      </c>
      <c r="G256" s="9">
        <v>9.4565199999999994</v>
      </c>
      <c r="H256" s="9">
        <v>-83.54795</v>
      </c>
      <c r="I256" s="19">
        <v>2490</v>
      </c>
      <c r="J256" s="19" t="s">
        <v>20</v>
      </c>
      <c r="K256" s="10">
        <v>41086</v>
      </c>
      <c r="L256" s="10">
        <v>41130</v>
      </c>
      <c r="M256" s="11">
        <v>36</v>
      </c>
      <c r="N256" s="11">
        <f t="shared" si="1"/>
        <v>45</v>
      </c>
      <c r="O256" s="8"/>
      <c r="P256" s="8" t="s">
        <v>140</v>
      </c>
    </row>
    <row r="257" spans="1:16" ht="15.75" hidden="1" customHeight="1" x14ac:dyDescent="0.2">
      <c r="A257" s="19" t="s">
        <v>52</v>
      </c>
      <c r="B257" s="19" t="s">
        <v>136</v>
      </c>
      <c r="C257" s="19" t="s">
        <v>142</v>
      </c>
      <c r="D257" s="8" t="s">
        <v>143</v>
      </c>
      <c r="E257" s="9">
        <v>221549</v>
      </c>
      <c r="F257" s="9">
        <v>1045193</v>
      </c>
      <c r="G257" s="9">
        <v>9.44618</v>
      </c>
      <c r="H257" s="9">
        <v>-83.535749999999993</v>
      </c>
      <c r="I257" s="19">
        <v>2858</v>
      </c>
      <c r="J257" s="19" t="s">
        <v>20</v>
      </c>
      <c r="K257" s="10">
        <v>41086</v>
      </c>
      <c r="L257" s="10">
        <v>41130</v>
      </c>
      <c r="M257" s="11">
        <v>35</v>
      </c>
      <c r="N257" s="11">
        <f t="shared" si="1"/>
        <v>45</v>
      </c>
      <c r="O257" s="8"/>
      <c r="P257" s="8" t="s">
        <v>143</v>
      </c>
    </row>
    <row r="258" spans="1:16" ht="15.75" hidden="1" customHeight="1" x14ac:dyDescent="0.2">
      <c r="A258" s="19" t="s">
        <v>52</v>
      </c>
      <c r="B258" s="19" t="s">
        <v>136</v>
      </c>
      <c r="C258" s="19" t="s">
        <v>142</v>
      </c>
      <c r="D258" s="8" t="s">
        <v>144</v>
      </c>
      <c r="E258" s="9">
        <v>224460</v>
      </c>
      <c r="F258" s="9">
        <v>1044781</v>
      </c>
      <c r="G258" s="9">
        <v>9.44252</v>
      </c>
      <c r="H258" s="9">
        <v>-83.527429999999995</v>
      </c>
      <c r="I258" s="19">
        <v>3107</v>
      </c>
      <c r="J258" s="19" t="s">
        <v>20</v>
      </c>
      <c r="K258" s="10">
        <v>41086</v>
      </c>
      <c r="L258" s="10">
        <v>41129</v>
      </c>
      <c r="M258" s="11">
        <f t="shared" ref="M258:M266" si="11">IF(ISBLANK(K258),0,IF(ISBLANK(L258),0,L258-K258+1))</f>
        <v>44</v>
      </c>
      <c r="N258" s="11">
        <f t="shared" si="1"/>
        <v>44</v>
      </c>
      <c r="O258" s="8"/>
      <c r="P258" s="8" t="s">
        <v>144</v>
      </c>
    </row>
    <row r="259" spans="1:16" ht="15.75" hidden="1" customHeight="1" x14ac:dyDescent="0.2">
      <c r="A259" s="19" t="s">
        <v>52</v>
      </c>
      <c r="B259" s="19" t="s">
        <v>136</v>
      </c>
      <c r="C259" s="19" t="s">
        <v>163</v>
      </c>
      <c r="D259" s="8" t="s">
        <v>164</v>
      </c>
      <c r="E259" s="9">
        <v>225346</v>
      </c>
      <c r="F259" s="9">
        <v>1047027</v>
      </c>
      <c r="G259" s="9">
        <v>9.4629999999999992</v>
      </c>
      <c r="H259" s="9">
        <v>-83.501320000000007</v>
      </c>
      <c r="I259" s="19">
        <v>3464</v>
      </c>
      <c r="J259" s="19" t="s">
        <v>26</v>
      </c>
      <c r="K259" s="10">
        <v>41087</v>
      </c>
      <c r="L259" s="10">
        <v>41130</v>
      </c>
      <c r="M259" s="11">
        <f t="shared" si="11"/>
        <v>44</v>
      </c>
      <c r="N259" s="11">
        <f t="shared" si="1"/>
        <v>44</v>
      </c>
      <c r="O259" s="8"/>
      <c r="P259" s="8" t="s">
        <v>145</v>
      </c>
    </row>
    <row r="260" spans="1:16" ht="15.75" hidden="1" customHeight="1" x14ac:dyDescent="0.2">
      <c r="A260" s="19" t="s">
        <v>52</v>
      </c>
      <c r="B260" s="19" t="s">
        <v>136</v>
      </c>
      <c r="C260" s="19" t="s">
        <v>146</v>
      </c>
      <c r="D260" s="8" t="s">
        <v>147</v>
      </c>
      <c r="E260" s="9">
        <v>224433</v>
      </c>
      <c r="F260" s="9">
        <v>1043313</v>
      </c>
      <c r="G260" s="9">
        <v>9.4293800000000001</v>
      </c>
      <c r="H260" s="9">
        <v>-83.509379999999993</v>
      </c>
      <c r="I260" s="19">
        <v>3113</v>
      </c>
      <c r="J260" s="19" t="s">
        <v>26</v>
      </c>
      <c r="K260" s="10">
        <v>41087</v>
      </c>
      <c r="L260" s="10">
        <v>41130</v>
      </c>
      <c r="M260" s="11">
        <f t="shared" si="11"/>
        <v>44</v>
      </c>
      <c r="N260" s="11">
        <f t="shared" si="1"/>
        <v>44</v>
      </c>
      <c r="O260" s="8"/>
      <c r="P260" s="8" t="s">
        <v>147</v>
      </c>
    </row>
    <row r="261" spans="1:16" ht="15.75" hidden="1" customHeight="1" x14ac:dyDescent="0.2">
      <c r="A261" s="19" t="s">
        <v>52</v>
      </c>
      <c r="B261" s="19" t="s">
        <v>136</v>
      </c>
      <c r="C261" s="19" t="s">
        <v>146</v>
      </c>
      <c r="D261" s="8" t="s">
        <v>148</v>
      </c>
      <c r="E261" s="9">
        <v>224828</v>
      </c>
      <c r="F261" s="9">
        <v>1045786</v>
      </c>
      <c r="G261" s="9">
        <v>9.4517500000000005</v>
      </c>
      <c r="H261" s="9">
        <v>-83.505949999999999</v>
      </c>
      <c r="I261" s="19">
        <v>3365</v>
      </c>
      <c r="J261" s="19" t="s">
        <v>26</v>
      </c>
      <c r="K261" s="10">
        <v>41087</v>
      </c>
      <c r="L261" s="10">
        <v>41130</v>
      </c>
      <c r="M261" s="11">
        <f t="shared" si="11"/>
        <v>44</v>
      </c>
      <c r="N261" s="11">
        <f t="shared" si="1"/>
        <v>44</v>
      </c>
      <c r="O261" s="8"/>
      <c r="P261" s="8" t="s">
        <v>148</v>
      </c>
    </row>
    <row r="262" spans="1:16" ht="15.75" hidden="1" customHeight="1" x14ac:dyDescent="0.2">
      <c r="A262" s="19" t="s">
        <v>182</v>
      </c>
      <c r="B262" s="19" t="s">
        <v>136</v>
      </c>
      <c r="C262" s="19" t="s">
        <v>142</v>
      </c>
      <c r="D262" s="8" t="s">
        <v>143</v>
      </c>
      <c r="E262" s="9">
        <v>221549</v>
      </c>
      <c r="F262" s="9">
        <v>1045193</v>
      </c>
      <c r="G262" s="9">
        <v>9.4461829999999996</v>
      </c>
      <c r="H262" s="9">
        <v>-83.535749999999993</v>
      </c>
      <c r="I262" s="19">
        <v>2858</v>
      </c>
      <c r="J262" s="19" t="s">
        <v>20</v>
      </c>
      <c r="K262" s="10">
        <v>41798</v>
      </c>
      <c r="L262" s="10">
        <v>41799</v>
      </c>
      <c r="M262" s="11">
        <f t="shared" si="11"/>
        <v>2</v>
      </c>
      <c r="N262" s="11">
        <f t="shared" si="1"/>
        <v>2</v>
      </c>
      <c r="O262" s="8"/>
      <c r="P262" s="8" t="s">
        <v>143</v>
      </c>
    </row>
    <row r="263" spans="1:16" ht="15.75" hidden="1" customHeight="1" x14ac:dyDescent="0.2">
      <c r="A263" s="19" t="s">
        <v>182</v>
      </c>
      <c r="B263" s="19" t="s">
        <v>136</v>
      </c>
      <c r="C263" s="19" t="s">
        <v>171</v>
      </c>
      <c r="D263" s="8" t="s">
        <v>147</v>
      </c>
      <c r="E263" s="9">
        <v>224433</v>
      </c>
      <c r="F263" s="9">
        <v>1043313</v>
      </c>
      <c r="G263" s="9">
        <v>9.4293829999999996</v>
      </c>
      <c r="H263" s="9">
        <v>-83.509383</v>
      </c>
      <c r="I263" s="19">
        <v>3113</v>
      </c>
      <c r="J263" s="19" t="s">
        <v>26</v>
      </c>
      <c r="K263" s="10">
        <v>41796</v>
      </c>
      <c r="L263" s="10">
        <v>41849</v>
      </c>
      <c r="M263" s="11">
        <f t="shared" si="11"/>
        <v>54</v>
      </c>
      <c r="N263" s="11">
        <f t="shared" si="1"/>
        <v>54</v>
      </c>
      <c r="O263" s="8"/>
      <c r="P263" s="8" t="s">
        <v>147</v>
      </c>
    </row>
    <row r="264" spans="1:16" ht="15.75" hidden="1" customHeight="1" x14ac:dyDescent="0.2">
      <c r="A264" s="19" t="s">
        <v>182</v>
      </c>
      <c r="B264" s="19" t="s">
        <v>136</v>
      </c>
      <c r="C264" s="19" t="s">
        <v>149</v>
      </c>
      <c r="D264" s="15" t="s">
        <v>150</v>
      </c>
      <c r="E264" s="9">
        <v>225708</v>
      </c>
      <c r="F264" s="9">
        <v>1038833</v>
      </c>
      <c r="G264" s="9">
        <v>9.3889809999999994</v>
      </c>
      <c r="H264" s="9">
        <v>-83.497487000000007</v>
      </c>
      <c r="I264" s="19">
        <v>2243</v>
      </c>
      <c r="J264" s="19" t="s">
        <v>26</v>
      </c>
      <c r="K264" s="10">
        <v>41717</v>
      </c>
      <c r="L264" s="10">
        <v>41866</v>
      </c>
      <c r="M264" s="11">
        <f t="shared" si="11"/>
        <v>150</v>
      </c>
      <c r="N264" s="11">
        <f t="shared" si="1"/>
        <v>150</v>
      </c>
      <c r="O264" s="8"/>
      <c r="P264" s="8" t="s">
        <v>150</v>
      </c>
    </row>
    <row r="265" spans="1:16" ht="15.75" hidden="1" customHeight="1" x14ac:dyDescent="0.2">
      <c r="A265" s="19" t="s">
        <v>182</v>
      </c>
      <c r="B265" s="19" t="s">
        <v>136</v>
      </c>
      <c r="C265" s="19" t="s">
        <v>149</v>
      </c>
      <c r="D265" s="8" t="s">
        <v>152</v>
      </c>
      <c r="E265" s="9">
        <v>225594</v>
      </c>
      <c r="F265" s="9">
        <v>1039301</v>
      </c>
      <c r="G265" s="9">
        <v>9.3932020000000005</v>
      </c>
      <c r="H265" s="9">
        <v>-83.498553999999999</v>
      </c>
      <c r="I265" s="19">
        <v>2494</v>
      </c>
      <c r="J265" s="19" t="s">
        <v>26</v>
      </c>
      <c r="K265" s="10">
        <v>41738</v>
      </c>
      <c r="L265" s="10">
        <v>41881</v>
      </c>
      <c r="M265" s="11">
        <f t="shared" si="11"/>
        <v>144</v>
      </c>
      <c r="N265" s="11">
        <f t="shared" si="1"/>
        <v>144</v>
      </c>
      <c r="O265" s="8"/>
      <c r="P265" s="8" t="s">
        <v>152</v>
      </c>
    </row>
    <row r="266" spans="1:16" ht="15.75" hidden="1" customHeight="1" x14ac:dyDescent="0.2">
      <c r="A266" s="19" t="s">
        <v>182</v>
      </c>
      <c r="B266" s="19" t="s">
        <v>136</v>
      </c>
      <c r="C266" s="19" t="s">
        <v>171</v>
      </c>
      <c r="D266" s="8" t="s">
        <v>153</v>
      </c>
      <c r="E266" s="9">
        <v>224968</v>
      </c>
      <c r="F266" s="9">
        <v>1040580</v>
      </c>
      <c r="G266" s="9">
        <v>9.4047169999999998</v>
      </c>
      <c r="H266" s="9">
        <v>-83.504329999999996</v>
      </c>
      <c r="I266" s="19">
        <v>3029</v>
      </c>
      <c r="J266" s="19" t="s">
        <v>26</v>
      </c>
      <c r="K266" s="10">
        <v>41927</v>
      </c>
      <c r="L266" s="10">
        <v>41987</v>
      </c>
      <c r="M266" s="11">
        <f t="shared" si="11"/>
        <v>61</v>
      </c>
      <c r="N266" s="11">
        <f t="shared" si="1"/>
        <v>61</v>
      </c>
      <c r="O266" s="8"/>
      <c r="P266" s="8" t="s">
        <v>153</v>
      </c>
    </row>
    <row r="267" spans="1:16" ht="15.75" hidden="1" customHeight="1" x14ac:dyDescent="0.2">
      <c r="A267" s="19" t="s">
        <v>134</v>
      </c>
      <c r="B267" s="19" t="s">
        <v>136</v>
      </c>
      <c r="C267" s="19" t="s">
        <v>149</v>
      </c>
      <c r="D267" s="8" t="s">
        <v>152</v>
      </c>
      <c r="E267" s="9">
        <v>225594</v>
      </c>
      <c r="F267" s="9">
        <v>1039301</v>
      </c>
      <c r="G267" s="9">
        <v>9.3932000000000002</v>
      </c>
      <c r="H267" s="9">
        <v>-83.498549999999994</v>
      </c>
      <c r="I267" s="19">
        <v>2494</v>
      </c>
      <c r="J267" s="19" t="s">
        <v>26</v>
      </c>
      <c r="K267" s="10">
        <v>42370</v>
      </c>
      <c r="L267" s="10">
        <v>42562</v>
      </c>
      <c r="M267" s="11">
        <v>181</v>
      </c>
      <c r="N267" s="11">
        <f t="shared" si="1"/>
        <v>193</v>
      </c>
      <c r="O267" s="8"/>
      <c r="P267" s="8" t="s">
        <v>152</v>
      </c>
    </row>
    <row r="268" spans="1:16" ht="15.75" hidden="1" customHeight="1" x14ac:dyDescent="0.2">
      <c r="A268" s="7" t="s">
        <v>134</v>
      </c>
      <c r="B268" s="7" t="s">
        <v>136</v>
      </c>
      <c r="C268" s="7" t="s">
        <v>137</v>
      </c>
      <c r="D268" s="8" t="s">
        <v>138</v>
      </c>
      <c r="E268" s="9">
        <v>216187</v>
      </c>
      <c r="F268" s="9">
        <v>1055367</v>
      </c>
      <c r="G268" s="9">
        <v>9.5377519999999993</v>
      </c>
      <c r="H268" s="9">
        <v>-83.585234</v>
      </c>
      <c r="I268" s="7">
        <v>2938</v>
      </c>
      <c r="J268" s="7" t="s">
        <v>26</v>
      </c>
      <c r="K268" s="10">
        <v>42430</v>
      </c>
      <c r="L268" s="10">
        <v>42479</v>
      </c>
      <c r="M268" s="11">
        <f t="shared" ref="M268:M276" si="12">IF(ISBLANK(K268),0,IF(ISBLANK(L268),0,L268-K268+1))</f>
        <v>50</v>
      </c>
      <c r="N268" s="11">
        <f t="shared" si="1"/>
        <v>50</v>
      </c>
      <c r="O268" s="8" t="s">
        <v>183</v>
      </c>
      <c r="P268" s="8" t="s">
        <v>138</v>
      </c>
    </row>
    <row r="269" spans="1:16" ht="15.75" hidden="1" customHeight="1" x14ac:dyDescent="0.2">
      <c r="A269" s="7" t="s">
        <v>134</v>
      </c>
      <c r="B269" s="7" t="s">
        <v>136</v>
      </c>
      <c r="C269" s="7" t="s">
        <v>137</v>
      </c>
      <c r="D269" s="15" t="s">
        <v>140</v>
      </c>
      <c r="E269" s="9">
        <v>215945</v>
      </c>
      <c r="F269" s="9">
        <v>1054548</v>
      </c>
      <c r="G269" s="9">
        <v>9.5303400000000007</v>
      </c>
      <c r="H269" s="9">
        <v>-83.587379999999996</v>
      </c>
      <c r="I269" s="7">
        <v>2694</v>
      </c>
      <c r="J269" s="7" t="s">
        <v>26</v>
      </c>
      <c r="K269" s="7"/>
      <c r="L269" s="7"/>
      <c r="M269" s="11">
        <f t="shared" si="12"/>
        <v>0</v>
      </c>
      <c r="N269" s="11">
        <f t="shared" si="1"/>
        <v>0</v>
      </c>
      <c r="O269" s="8"/>
      <c r="P269" s="8" t="s">
        <v>140</v>
      </c>
    </row>
    <row r="270" spans="1:16" ht="15.75" hidden="1" customHeight="1" x14ac:dyDescent="0.2">
      <c r="A270" s="7" t="s">
        <v>134</v>
      </c>
      <c r="B270" s="7" t="s">
        <v>136</v>
      </c>
      <c r="C270" s="7" t="s">
        <v>142</v>
      </c>
      <c r="D270" s="8" t="s">
        <v>143</v>
      </c>
      <c r="E270" s="9">
        <v>221549</v>
      </c>
      <c r="F270" s="9">
        <v>1045193</v>
      </c>
      <c r="G270" s="9">
        <v>9.4461829999999996</v>
      </c>
      <c r="H270" s="9">
        <v>-83.535749999999993</v>
      </c>
      <c r="I270" s="7">
        <v>2858</v>
      </c>
      <c r="J270" s="7" t="s">
        <v>20</v>
      </c>
      <c r="K270" s="10">
        <v>42714</v>
      </c>
      <c r="L270" s="10">
        <v>42720</v>
      </c>
      <c r="M270" s="11">
        <f t="shared" si="12"/>
        <v>7</v>
      </c>
      <c r="N270" s="11">
        <f t="shared" si="1"/>
        <v>7</v>
      </c>
      <c r="O270" s="8"/>
      <c r="P270" s="8" t="s">
        <v>143</v>
      </c>
    </row>
    <row r="271" spans="1:16" ht="15.75" hidden="1" customHeight="1" x14ac:dyDescent="0.2">
      <c r="A271" s="7" t="s">
        <v>134</v>
      </c>
      <c r="B271" s="7" t="s">
        <v>136</v>
      </c>
      <c r="C271" s="7" t="s">
        <v>142</v>
      </c>
      <c r="D271" s="8" t="s">
        <v>144</v>
      </c>
      <c r="E271" s="9">
        <v>222460</v>
      </c>
      <c r="F271" s="9">
        <v>1044781</v>
      </c>
      <c r="G271" s="9">
        <v>9.4425170000000005</v>
      </c>
      <c r="H271" s="9">
        <v>-83.527433000000002</v>
      </c>
      <c r="I271" s="7">
        <v>3107</v>
      </c>
      <c r="J271" s="7" t="s">
        <v>20</v>
      </c>
      <c r="K271" s="10">
        <v>42714</v>
      </c>
      <c r="L271" s="10">
        <v>42717</v>
      </c>
      <c r="M271" s="11">
        <f t="shared" si="12"/>
        <v>4</v>
      </c>
      <c r="N271" s="11">
        <f t="shared" si="1"/>
        <v>4</v>
      </c>
      <c r="O271" s="8"/>
      <c r="P271" s="8" t="s">
        <v>144</v>
      </c>
    </row>
    <row r="272" spans="1:16" ht="15.75" hidden="1" customHeight="1" x14ac:dyDescent="0.2">
      <c r="A272" s="7" t="s">
        <v>134</v>
      </c>
      <c r="B272" s="7" t="s">
        <v>136</v>
      </c>
      <c r="C272" s="7" t="s">
        <v>137</v>
      </c>
      <c r="D272" s="15" t="s">
        <v>145</v>
      </c>
      <c r="E272" s="9">
        <v>218882</v>
      </c>
      <c r="F272" s="9">
        <v>1054826</v>
      </c>
      <c r="G272" s="9">
        <v>9.5330499999999994</v>
      </c>
      <c r="H272" s="9">
        <v>-83.560666999999995</v>
      </c>
      <c r="I272" s="7">
        <v>3265</v>
      </c>
      <c r="J272" s="7" t="s">
        <v>26</v>
      </c>
      <c r="K272" s="10">
        <v>42370</v>
      </c>
      <c r="L272" s="10">
        <v>42383</v>
      </c>
      <c r="M272" s="11">
        <f t="shared" si="12"/>
        <v>14</v>
      </c>
      <c r="N272" s="11">
        <f t="shared" si="1"/>
        <v>14</v>
      </c>
      <c r="O272" s="8"/>
      <c r="P272" s="8" t="s">
        <v>145</v>
      </c>
    </row>
    <row r="273" spans="1:16" ht="15.75" hidden="1" customHeight="1" x14ac:dyDescent="0.2">
      <c r="A273" s="7" t="s">
        <v>134</v>
      </c>
      <c r="B273" s="7" t="s">
        <v>136</v>
      </c>
      <c r="C273" s="7" t="s">
        <v>146</v>
      </c>
      <c r="D273" s="8" t="s">
        <v>147</v>
      </c>
      <c r="E273" s="9">
        <v>224433</v>
      </c>
      <c r="F273" s="9">
        <v>1043313</v>
      </c>
      <c r="G273" s="9">
        <v>9.4293829999999996</v>
      </c>
      <c r="H273" s="9">
        <v>-83.509383</v>
      </c>
      <c r="I273" s="7">
        <v>3113</v>
      </c>
      <c r="J273" s="7" t="s">
        <v>26</v>
      </c>
      <c r="K273" s="10">
        <v>42451</v>
      </c>
      <c r="L273" s="10">
        <v>42542</v>
      </c>
      <c r="M273" s="11">
        <f t="shared" si="12"/>
        <v>92</v>
      </c>
      <c r="N273" s="11">
        <f t="shared" si="1"/>
        <v>92</v>
      </c>
      <c r="O273" s="8"/>
      <c r="P273" s="8" t="s">
        <v>147</v>
      </c>
    </row>
    <row r="274" spans="1:16" ht="15.75" hidden="1" customHeight="1" x14ac:dyDescent="0.2">
      <c r="A274" s="7" t="s">
        <v>134</v>
      </c>
      <c r="B274" s="7" t="s">
        <v>136</v>
      </c>
      <c r="C274" s="7" t="s">
        <v>146</v>
      </c>
      <c r="D274" s="8" t="s">
        <v>148</v>
      </c>
      <c r="E274" s="9">
        <v>224828</v>
      </c>
      <c r="F274" s="9">
        <v>1045786</v>
      </c>
      <c r="G274" s="9">
        <v>9.4517500000000005</v>
      </c>
      <c r="H274" s="9">
        <v>-83.505949999999999</v>
      </c>
      <c r="I274" s="7">
        <v>3365</v>
      </c>
      <c r="J274" s="7" t="s">
        <v>26</v>
      </c>
      <c r="K274" s="10">
        <v>42379</v>
      </c>
      <c r="L274" s="10">
        <v>42463</v>
      </c>
      <c r="M274" s="11">
        <f t="shared" si="12"/>
        <v>85</v>
      </c>
      <c r="N274" s="11">
        <f t="shared" si="1"/>
        <v>85</v>
      </c>
      <c r="O274" s="8"/>
      <c r="P274" s="8" t="s">
        <v>148</v>
      </c>
    </row>
    <row r="275" spans="1:16" ht="15.75" hidden="1" customHeight="1" x14ac:dyDescent="0.2">
      <c r="A275" s="7" t="s">
        <v>134</v>
      </c>
      <c r="B275" s="7" t="s">
        <v>136</v>
      </c>
      <c r="C275" s="7" t="s">
        <v>149</v>
      </c>
      <c r="D275" s="15" t="s">
        <v>150</v>
      </c>
      <c r="E275" s="9">
        <v>225708</v>
      </c>
      <c r="F275" s="9">
        <v>1038833</v>
      </c>
      <c r="G275" s="9">
        <v>9.3875829999999993</v>
      </c>
      <c r="H275" s="9">
        <v>-83.492982999999995</v>
      </c>
      <c r="I275" s="7">
        <v>2243</v>
      </c>
      <c r="J275" s="7" t="s">
        <v>26</v>
      </c>
      <c r="K275" s="10">
        <v>42575</v>
      </c>
      <c r="L275" s="10">
        <v>42612</v>
      </c>
      <c r="M275" s="11">
        <f t="shared" si="12"/>
        <v>38</v>
      </c>
      <c r="N275" s="11">
        <f t="shared" si="1"/>
        <v>38</v>
      </c>
      <c r="O275" s="8"/>
      <c r="P275" s="8" t="s">
        <v>150</v>
      </c>
    </row>
    <row r="276" spans="1:16" ht="15.75" hidden="1" customHeight="1" x14ac:dyDescent="0.2">
      <c r="A276" s="7" t="s">
        <v>134</v>
      </c>
      <c r="B276" s="7" t="s">
        <v>136</v>
      </c>
      <c r="C276" s="7" t="s">
        <v>146</v>
      </c>
      <c r="D276" s="8" t="s">
        <v>153</v>
      </c>
      <c r="E276" s="9">
        <v>224968</v>
      </c>
      <c r="F276" s="9">
        <v>1040580</v>
      </c>
      <c r="G276" s="9">
        <v>9.4047169999999998</v>
      </c>
      <c r="H276" s="9">
        <v>-83.504333000000003</v>
      </c>
      <c r="I276" s="7">
        <v>3029</v>
      </c>
      <c r="J276" s="7" t="s">
        <v>26</v>
      </c>
      <c r="K276" s="10">
        <v>42286</v>
      </c>
      <c r="L276" s="10">
        <v>42286</v>
      </c>
      <c r="M276" s="11">
        <f t="shared" si="12"/>
        <v>1</v>
      </c>
      <c r="N276" s="11">
        <f t="shared" si="1"/>
        <v>1</v>
      </c>
      <c r="O276" s="8"/>
      <c r="P276" s="8" t="s">
        <v>153</v>
      </c>
    </row>
    <row r="277" spans="1:16" ht="15.75" hidden="1" customHeight="1" x14ac:dyDescent="0.2">
      <c r="A277" s="7" t="s">
        <v>134</v>
      </c>
      <c r="B277" s="7" t="s">
        <v>136</v>
      </c>
      <c r="C277" s="7" t="s">
        <v>37</v>
      </c>
      <c r="D277" s="8" t="s">
        <v>160</v>
      </c>
      <c r="E277" s="9"/>
      <c r="F277" s="9"/>
      <c r="G277" s="9"/>
      <c r="H277" s="9"/>
      <c r="I277" s="7"/>
      <c r="J277" s="7"/>
      <c r="K277" s="10">
        <v>42546</v>
      </c>
      <c r="L277" s="10">
        <v>42548</v>
      </c>
      <c r="M277" s="11">
        <v>0</v>
      </c>
      <c r="N277" s="11">
        <f t="shared" si="1"/>
        <v>3</v>
      </c>
      <c r="O277" s="8" t="s">
        <v>184</v>
      </c>
      <c r="P277" s="8" t="s">
        <v>160</v>
      </c>
    </row>
    <row r="278" spans="1:16" ht="15.75" hidden="1" customHeight="1" x14ac:dyDescent="0.2">
      <c r="A278" s="7" t="s">
        <v>134</v>
      </c>
      <c r="B278" s="7" t="s">
        <v>136</v>
      </c>
      <c r="C278" s="7" t="s">
        <v>156</v>
      </c>
      <c r="D278" s="8" t="s">
        <v>157</v>
      </c>
      <c r="E278" s="9">
        <v>224927</v>
      </c>
      <c r="F278" s="9">
        <v>1046340</v>
      </c>
      <c r="G278" s="9">
        <v>9.4567730000000001</v>
      </c>
      <c r="H278" s="9">
        <v>-83.505081000000004</v>
      </c>
      <c r="I278" s="7">
        <v>3400</v>
      </c>
      <c r="J278" s="7" t="s">
        <v>26</v>
      </c>
      <c r="K278" s="10">
        <v>42283</v>
      </c>
      <c r="L278" s="10">
        <v>42295</v>
      </c>
      <c r="M278" s="11">
        <f t="shared" ref="M278:M294" si="13">IF(ISBLANK(K278),0,IF(ISBLANK(L278),0,L278-K278+1))</f>
        <v>13</v>
      </c>
      <c r="N278" s="11">
        <f t="shared" si="1"/>
        <v>13</v>
      </c>
      <c r="O278" s="8"/>
      <c r="P278" s="8" t="s">
        <v>157</v>
      </c>
    </row>
    <row r="279" spans="1:16" ht="15.75" hidden="1" customHeight="1" x14ac:dyDescent="0.2">
      <c r="A279" s="7" t="s">
        <v>134</v>
      </c>
      <c r="B279" s="7" t="s">
        <v>136</v>
      </c>
      <c r="C279" s="7" t="s">
        <v>156</v>
      </c>
      <c r="D279" s="8" t="s">
        <v>158</v>
      </c>
      <c r="E279" s="9">
        <v>224927</v>
      </c>
      <c r="F279" s="9">
        <v>1046340</v>
      </c>
      <c r="G279" s="9">
        <v>9.4567730000000001</v>
      </c>
      <c r="H279" s="9">
        <v>-83.505081000000004</v>
      </c>
      <c r="I279" s="7">
        <v>3400</v>
      </c>
      <c r="J279" s="7" t="s">
        <v>26</v>
      </c>
      <c r="K279" s="10">
        <v>42347</v>
      </c>
      <c r="L279" s="10">
        <v>42370</v>
      </c>
      <c r="M279" s="11">
        <f t="shared" si="13"/>
        <v>24</v>
      </c>
      <c r="N279" s="11">
        <f t="shared" si="1"/>
        <v>24</v>
      </c>
      <c r="O279" s="8" t="s">
        <v>185</v>
      </c>
      <c r="P279" s="8" t="s">
        <v>158</v>
      </c>
    </row>
    <row r="280" spans="1:16" ht="15.75" hidden="1" customHeight="1" x14ac:dyDescent="0.2">
      <c r="A280" s="7" t="s">
        <v>134</v>
      </c>
      <c r="B280" s="7" t="s">
        <v>136</v>
      </c>
      <c r="C280" s="7" t="s">
        <v>156</v>
      </c>
      <c r="D280" s="8" t="s">
        <v>159</v>
      </c>
      <c r="E280" s="9">
        <v>224927</v>
      </c>
      <c r="F280" s="9">
        <v>1046340</v>
      </c>
      <c r="G280" s="9">
        <v>9.4567730000000001</v>
      </c>
      <c r="H280" s="9">
        <v>-83.505081000000004</v>
      </c>
      <c r="I280" s="7">
        <v>3400</v>
      </c>
      <c r="J280" s="7" t="s">
        <v>26</v>
      </c>
      <c r="K280" s="10">
        <v>42370</v>
      </c>
      <c r="L280" s="10">
        <v>42389</v>
      </c>
      <c r="M280" s="11">
        <f t="shared" si="13"/>
        <v>20</v>
      </c>
      <c r="N280" s="11">
        <f t="shared" si="1"/>
        <v>20</v>
      </c>
      <c r="O280" s="8"/>
      <c r="P280" s="8" t="s">
        <v>159</v>
      </c>
    </row>
    <row r="281" spans="1:16" ht="15.75" hidden="1" customHeight="1" x14ac:dyDescent="0.2">
      <c r="A281" s="7" t="s">
        <v>186</v>
      </c>
      <c r="B281" s="7" t="s">
        <v>136</v>
      </c>
      <c r="C281" s="7" t="s">
        <v>142</v>
      </c>
      <c r="D281" s="8" t="s">
        <v>143</v>
      </c>
      <c r="E281" s="9">
        <v>221549</v>
      </c>
      <c r="F281" s="9">
        <v>1045193</v>
      </c>
      <c r="G281" s="9">
        <v>9.4461829999999996</v>
      </c>
      <c r="H281" s="9">
        <v>-83.535749999999993</v>
      </c>
      <c r="I281" s="7">
        <v>2858</v>
      </c>
      <c r="J281" s="7" t="s">
        <v>20</v>
      </c>
      <c r="K281" s="7"/>
      <c r="L281" s="7"/>
      <c r="M281" s="11">
        <f t="shared" si="13"/>
        <v>0</v>
      </c>
      <c r="N281" s="11">
        <f t="shared" si="1"/>
        <v>0</v>
      </c>
      <c r="O281" s="8"/>
      <c r="P281" s="8" t="s">
        <v>143</v>
      </c>
    </row>
    <row r="282" spans="1:16" ht="15.75" hidden="1" customHeight="1" x14ac:dyDescent="0.2">
      <c r="A282" s="7" t="s">
        <v>186</v>
      </c>
      <c r="B282" s="7" t="s">
        <v>136</v>
      </c>
      <c r="C282" s="7" t="s">
        <v>142</v>
      </c>
      <c r="D282" s="8" t="s">
        <v>144</v>
      </c>
      <c r="E282" s="9">
        <v>222460</v>
      </c>
      <c r="F282" s="9">
        <v>1044781</v>
      </c>
      <c r="G282" s="9">
        <v>9.4425170000000005</v>
      </c>
      <c r="H282" s="9">
        <v>-83.527433000000002</v>
      </c>
      <c r="I282" s="7">
        <v>3107</v>
      </c>
      <c r="J282" s="7" t="s">
        <v>20</v>
      </c>
      <c r="K282" s="10">
        <v>42871</v>
      </c>
      <c r="L282" s="10">
        <v>42888</v>
      </c>
      <c r="M282" s="11">
        <f t="shared" si="13"/>
        <v>18</v>
      </c>
      <c r="N282" s="11">
        <f t="shared" si="1"/>
        <v>18</v>
      </c>
      <c r="O282" s="8"/>
      <c r="P282" s="8" t="s">
        <v>144</v>
      </c>
    </row>
    <row r="283" spans="1:16" ht="15.75" hidden="1" customHeight="1" x14ac:dyDescent="0.2">
      <c r="A283" s="7" t="s">
        <v>186</v>
      </c>
      <c r="B283" s="7" t="s">
        <v>136</v>
      </c>
      <c r="C283" s="7" t="s">
        <v>137</v>
      </c>
      <c r="D283" s="15" t="s">
        <v>145</v>
      </c>
      <c r="E283" s="9">
        <v>218882</v>
      </c>
      <c r="F283" s="9">
        <v>1054826</v>
      </c>
      <c r="G283" s="9">
        <v>9.5330499999999994</v>
      </c>
      <c r="H283" s="9">
        <v>-83.560666999999995</v>
      </c>
      <c r="I283" s="7">
        <v>3265</v>
      </c>
      <c r="J283" s="7" t="s">
        <v>26</v>
      </c>
      <c r="K283" s="7"/>
      <c r="L283" s="7"/>
      <c r="M283" s="11">
        <f t="shared" si="13"/>
        <v>0</v>
      </c>
      <c r="N283" s="11">
        <f t="shared" si="1"/>
        <v>0</v>
      </c>
      <c r="O283" s="8"/>
      <c r="P283" s="8" t="s">
        <v>145</v>
      </c>
    </row>
    <row r="284" spans="1:16" ht="15.75" hidden="1" customHeight="1" x14ac:dyDescent="0.2">
      <c r="A284" s="7" t="s">
        <v>186</v>
      </c>
      <c r="B284" s="7" t="s">
        <v>136</v>
      </c>
      <c r="C284" s="7" t="s">
        <v>146</v>
      </c>
      <c r="D284" s="8" t="s">
        <v>147</v>
      </c>
      <c r="E284" s="9">
        <v>224433</v>
      </c>
      <c r="F284" s="9">
        <v>1043313</v>
      </c>
      <c r="G284" s="9">
        <v>9.4293829999999996</v>
      </c>
      <c r="H284" s="9">
        <v>-83.509383</v>
      </c>
      <c r="I284" s="7">
        <v>3113</v>
      </c>
      <c r="J284" s="7" t="s">
        <v>26</v>
      </c>
      <c r="K284" s="7"/>
      <c r="L284" s="7"/>
      <c r="M284" s="11">
        <f t="shared" si="13"/>
        <v>0</v>
      </c>
      <c r="N284" s="11">
        <f t="shared" si="1"/>
        <v>0</v>
      </c>
      <c r="O284" s="8"/>
      <c r="P284" s="8" t="s">
        <v>147</v>
      </c>
    </row>
    <row r="285" spans="1:16" ht="15.75" hidden="1" customHeight="1" x14ac:dyDescent="0.2">
      <c r="A285" s="7" t="s">
        <v>186</v>
      </c>
      <c r="B285" s="7" t="s">
        <v>136</v>
      </c>
      <c r="C285" s="7" t="s">
        <v>146</v>
      </c>
      <c r="D285" s="8" t="s">
        <v>148</v>
      </c>
      <c r="E285" s="9">
        <v>224828</v>
      </c>
      <c r="F285" s="9">
        <v>1045786</v>
      </c>
      <c r="G285" s="9">
        <v>9.4517500000000005</v>
      </c>
      <c r="H285" s="9">
        <v>-83.505949999999999</v>
      </c>
      <c r="I285" s="7">
        <v>3365</v>
      </c>
      <c r="J285" s="7" t="s">
        <v>26</v>
      </c>
      <c r="K285" s="7"/>
      <c r="L285" s="7"/>
      <c r="M285" s="11">
        <f t="shared" si="13"/>
        <v>0</v>
      </c>
      <c r="N285" s="11">
        <f t="shared" si="1"/>
        <v>0</v>
      </c>
      <c r="O285" s="8"/>
      <c r="P285" s="8" t="s">
        <v>148</v>
      </c>
    </row>
    <row r="286" spans="1:16" ht="15.75" hidden="1" customHeight="1" x14ac:dyDescent="0.2">
      <c r="A286" s="7" t="s">
        <v>186</v>
      </c>
      <c r="B286" s="7" t="s">
        <v>136</v>
      </c>
      <c r="C286" s="7" t="s">
        <v>149</v>
      </c>
      <c r="D286" s="15" t="s">
        <v>150</v>
      </c>
      <c r="E286" s="9">
        <v>225708</v>
      </c>
      <c r="F286" s="9">
        <v>1038833</v>
      </c>
      <c r="G286" s="9">
        <v>9.3875829999999993</v>
      </c>
      <c r="H286" s="9">
        <v>-83.492982999999995</v>
      </c>
      <c r="I286" s="7">
        <v>2243</v>
      </c>
      <c r="J286" s="7"/>
      <c r="K286" s="7"/>
      <c r="L286" s="7"/>
      <c r="M286" s="11">
        <f t="shared" si="13"/>
        <v>0</v>
      </c>
      <c r="N286" s="11">
        <f t="shared" si="1"/>
        <v>0</v>
      </c>
      <c r="O286" s="8"/>
      <c r="P286" s="8" t="s">
        <v>151</v>
      </c>
    </row>
    <row r="287" spans="1:16" ht="15.75" hidden="1" customHeight="1" x14ac:dyDescent="0.2">
      <c r="A287" s="7" t="s">
        <v>186</v>
      </c>
      <c r="B287" s="7" t="s">
        <v>136</v>
      </c>
      <c r="C287" s="7" t="s">
        <v>149</v>
      </c>
      <c r="D287" s="8" t="s">
        <v>152</v>
      </c>
      <c r="E287" s="9">
        <v>225594</v>
      </c>
      <c r="F287" s="9">
        <v>1039301</v>
      </c>
      <c r="G287" s="9">
        <v>9.3932000000000002</v>
      </c>
      <c r="H287" s="9">
        <v>-83.498549999999994</v>
      </c>
      <c r="I287" s="7">
        <v>2494</v>
      </c>
      <c r="J287" s="7" t="s">
        <v>37</v>
      </c>
      <c r="K287" s="7"/>
      <c r="L287" s="7"/>
      <c r="M287" s="11">
        <f t="shared" si="13"/>
        <v>0</v>
      </c>
      <c r="N287" s="11">
        <f t="shared" si="1"/>
        <v>0</v>
      </c>
      <c r="O287" s="8"/>
      <c r="P287" s="8" t="s">
        <v>152</v>
      </c>
    </row>
    <row r="288" spans="1:16" ht="15.75" hidden="1" customHeight="1" x14ac:dyDescent="0.2">
      <c r="A288" s="7" t="s">
        <v>186</v>
      </c>
      <c r="B288" s="7" t="s">
        <v>136</v>
      </c>
      <c r="C288" s="7" t="s">
        <v>146</v>
      </c>
      <c r="D288" s="8" t="s">
        <v>153</v>
      </c>
      <c r="E288" s="9">
        <v>224968</v>
      </c>
      <c r="F288" s="9">
        <v>1040580</v>
      </c>
      <c r="G288" s="9">
        <v>9.4047169999999998</v>
      </c>
      <c r="H288" s="9">
        <v>-83.504333000000003</v>
      </c>
      <c r="I288" s="7">
        <v>3029</v>
      </c>
      <c r="J288" s="7" t="s">
        <v>26</v>
      </c>
      <c r="K288" s="7"/>
      <c r="L288" s="7"/>
      <c r="M288" s="11">
        <f t="shared" si="13"/>
        <v>0</v>
      </c>
      <c r="N288" s="11">
        <f t="shared" si="1"/>
        <v>0</v>
      </c>
      <c r="O288" s="8"/>
      <c r="P288" s="8" t="s">
        <v>153</v>
      </c>
    </row>
    <row r="289" spans="1:16" ht="15.75" hidden="1" customHeight="1" x14ac:dyDescent="0.2">
      <c r="A289" s="7" t="s">
        <v>186</v>
      </c>
      <c r="B289" s="7" t="s">
        <v>136</v>
      </c>
      <c r="C289" s="7" t="s">
        <v>156</v>
      </c>
      <c r="D289" s="8" t="s">
        <v>157</v>
      </c>
      <c r="E289" s="9">
        <v>554363</v>
      </c>
      <c r="F289" s="9">
        <v>1045708</v>
      </c>
      <c r="G289" s="9">
        <v>9.4596400000000003</v>
      </c>
      <c r="H289" s="9">
        <v>-80.504769999999994</v>
      </c>
      <c r="I289" s="7"/>
      <c r="J289" s="7" t="s">
        <v>26</v>
      </c>
      <c r="K289" s="10"/>
      <c r="L289" s="10"/>
      <c r="M289" s="11">
        <f t="shared" si="13"/>
        <v>0</v>
      </c>
      <c r="N289" s="11">
        <f t="shared" si="1"/>
        <v>0</v>
      </c>
      <c r="O289" s="8"/>
      <c r="P289" s="8" t="s">
        <v>157</v>
      </c>
    </row>
    <row r="290" spans="1:16" ht="15.75" hidden="1" customHeight="1" x14ac:dyDescent="0.2">
      <c r="A290" s="7" t="s">
        <v>186</v>
      </c>
      <c r="B290" s="7" t="s">
        <v>136</v>
      </c>
      <c r="C290" s="7" t="s">
        <v>156</v>
      </c>
      <c r="D290" s="8" t="s">
        <v>158</v>
      </c>
      <c r="E290" s="9">
        <v>554363</v>
      </c>
      <c r="F290" s="9">
        <v>1045708</v>
      </c>
      <c r="G290" s="9">
        <v>9.4596400000000003</v>
      </c>
      <c r="H290" s="9">
        <v>-80.504769999999994</v>
      </c>
      <c r="I290" s="7"/>
      <c r="J290" s="7" t="s">
        <v>26</v>
      </c>
      <c r="K290" s="7"/>
      <c r="L290" s="7"/>
      <c r="M290" s="11">
        <f t="shared" si="13"/>
        <v>0</v>
      </c>
      <c r="N290" s="11">
        <f t="shared" si="1"/>
        <v>0</v>
      </c>
      <c r="O290" s="8"/>
      <c r="P290" s="8" t="s">
        <v>158</v>
      </c>
    </row>
    <row r="291" spans="1:16" ht="15.75" hidden="1" customHeight="1" x14ac:dyDescent="0.2">
      <c r="A291" s="7" t="s">
        <v>186</v>
      </c>
      <c r="B291" s="7" t="s">
        <v>136</v>
      </c>
      <c r="C291" s="7" t="s">
        <v>156</v>
      </c>
      <c r="D291" s="8" t="s">
        <v>159</v>
      </c>
      <c r="E291" s="9">
        <v>554363</v>
      </c>
      <c r="F291" s="9">
        <v>1045708</v>
      </c>
      <c r="G291" s="9">
        <v>9.4596400000000003</v>
      </c>
      <c r="H291" s="9">
        <v>-80.504769999999994</v>
      </c>
      <c r="I291" s="7"/>
      <c r="J291" s="7" t="s">
        <v>26</v>
      </c>
      <c r="K291" s="7"/>
      <c r="L291" s="7"/>
      <c r="M291" s="11">
        <f t="shared" si="13"/>
        <v>0</v>
      </c>
      <c r="N291" s="11">
        <f t="shared" si="1"/>
        <v>0</v>
      </c>
      <c r="O291" s="8"/>
      <c r="P291" s="8" t="s">
        <v>159</v>
      </c>
    </row>
    <row r="292" spans="1:16" ht="15.75" hidden="1" customHeight="1" x14ac:dyDescent="0.2">
      <c r="A292" s="7" t="s">
        <v>134</v>
      </c>
      <c r="B292" s="7" t="s">
        <v>136</v>
      </c>
      <c r="C292" s="7" t="s">
        <v>146</v>
      </c>
      <c r="D292" s="7" t="s">
        <v>147</v>
      </c>
      <c r="E292" s="9">
        <v>224433</v>
      </c>
      <c r="F292" s="9">
        <v>1043313</v>
      </c>
      <c r="G292" s="9">
        <v>9.4293829999999996</v>
      </c>
      <c r="H292" s="9">
        <v>-83.509383</v>
      </c>
      <c r="I292" s="7">
        <v>3113</v>
      </c>
      <c r="J292" s="7" t="s">
        <v>26</v>
      </c>
      <c r="K292" s="10">
        <v>42562</v>
      </c>
      <c r="L292" s="10">
        <v>42674</v>
      </c>
      <c r="M292" s="11">
        <f t="shared" si="13"/>
        <v>113</v>
      </c>
      <c r="N292" s="11">
        <f t="shared" si="1"/>
        <v>113</v>
      </c>
      <c r="O292" s="8" t="s">
        <v>62</v>
      </c>
      <c r="P292" s="7" t="s">
        <v>147</v>
      </c>
    </row>
    <row r="293" spans="1:16" ht="15.75" hidden="1" customHeight="1" x14ac:dyDescent="0.2">
      <c r="A293" s="7" t="s">
        <v>36</v>
      </c>
      <c r="B293" s="7" t="s">
        <v>136</v>
      </c>
      <c r="C293" s="7" t="s">
        <v>137</v>
      </c>
      <c r="D293" s="8" t="s">
        <v>164</v>
      </c>
      <c r="E293" s="7">
        <v>218882</v>
      </c>
      <c r="F293" s="7">
        <v>1054826</v>
      </c>
      <c r="G293" s="9">
        <v>9.4629999999999992</v>
      </c>
      <c r="H293" s="9">
        <v>-83.501320000000007</v>
      </c>
      <c r="I293" s="7">
        <v>3265</v>
      </c>
      <c r="J293" s="7" t="s">
        <v>26</v>
      </c>
      <c r="K293" s="10">
        <v>41849</v>
      </c>
      <c r="L293" s="10">
        <v>41999</v>
      </c>
      <c r="M293" s="11">
        <f t="shared" si="13"/>
        <v>151</v>
      </c>
      <c r="N293" s="11">
        <f t="shared" si="1"/>
        <v>151</v>
      </c>
      <c r="O293" s="8" t="s">
        <v>62</v>
      </c>
      <c r="P293" s="7" t="s">
        <v>145</v>
      </c>
    </row>
    <row r="294" spans="1:16" ht="15.75" hidden="1" customHeight="1" x14ac:dyDescent="0.2">
      <c r="A294" s="7" t="s">
        <v>47</v>
      </c>
      <c r="B294" s="7" t="s">
        <v>136</v>
      </c>
      <c r="C294" s="7" t="s">
        <v>137</v>
      </c>
      <c r="D294" s="8" t="s">
        <v>164</v>
      </c>
      <c r="E294" s="7">
        <v>218882</v>
      </c>
      <c r="F294" s="7">
        <v>1054826</v>
      </c>
      <c r="G294" s="9">
        <v>9.4629999999999992</v>
      </c>
      <c r="H294" s="9">
        <v>-83.501317</v>
      </c>
      <c r="I294" s="7">
        <v>3265</v>
      </c>
      <c r="J294" s="7" t="s">
        <v>26</v>
      </c>
      <c r="K294" s="10">
        <v>42049</v>
      </c>
      <c r="L294" s="10">
        <v>42123</v>
      </c>
      <c r="M294" s="11">
        <f t="shared" si="13"/>
        <v>75</v>
      </c>
      <c r="N294" s="11">
        <f t="shared" si="1"/>
        <v>75</v>
      </c>
      <c r="O294" s="8" t="s">
        <v>62</v>
      </c>
      <c r="P294" s="7"/>
    </row>
    <row r="295" spans="1:16" ht="15.75" hidden="1" customHeight="1" x14ac:dyDescent="0.2">
      <c r="A295" s="7" t="s">
        <v>16</v>
      </c>
      <c r="B295" s="7" t="s">
        <v>187</v>
      </c>
      <c r="C295" s="7" t="s">
        <v>187</v>
      </c>
      <c r="D295" s="8" t="s">
        <v>188</v>
      </c>
      <c r="E295" s="9">
        <v>197713</v>
      </c>
      <c r="F295" s="9">
        <v>1082614</v>
      </c>
      <c r="G295" s="9">
        <v>9.7826170000000001</v>
      </c>
      <c r="H295" s="9">
        <v>-83.755382999999995</v>
      </c>
      <c r="I295" s="7">
        <v>1158</v>
      </c>
      <c r="J295" s="7" t="s">
        <v>26</v>
      </c>
      <c r="K295" s="10">
        <v>40545</v>
      </c>
      <c r="L295" s="10">
        <v>40589</v>
      </c>
      <c r="M295" s="11">
        <v>0</v>
      </c>
      <c r="N295" s="11">
        <f t="shared" si="1"/>
        <v>45</v>
      </c>
      <c r="O295" s="8" t="s">
        <v>189</v>
      </c>
      <c r="P295" s="8" t="s">
        <v>190</v>
      </c>
    </row>
    <row r="296" spans="1:16" ht="15.75" hidden="1" customHeight="1" x14ac:dyDescent="0.2">
      <c r="A296" s="7" t="s">
        <v>16</v>
      </c>
      <c r="B296" s="7" t="s">
        <v>187</v>
      </c>
      <c r="C296" s="7" t="s">
        <v>187</v>
      </c>
      <c r="D296" s="8" t="s">
        <v>191</v>
      </c>
      <c r="E296" s="9">
        <v>197795</v>
      </c>
      <c r="F296" s="9">
        <v>1082371</v>
      </c>
      <c r="G296" s="9">
        <v>9.7804330000000004</v>
      </c>
      <c r="H296" s="9">
        <v>-83.754616999999996</v>
      </c>
      <c r="I296" s="7">
        <v>1225</v>
      </c>
      <c r="J296" s="7" t="s">
        <v>26</v>
      </c>
      <c r="K296" s="10">
        <v>41494</v>
      </c>
      <c r="L296" s="10">
        <v>41541</v>
      </c>
      <c r="M296" s="11">
        <f t="shared" ref="M296:M304" si="14">IF(ISBLANK(K296),0,IF(ISBLANK(L296),0,L296-K296+1))</f>
        <v>48</v>
      </c>
      <c r="N296" s="11">
        <f t="shared" si="1"/>
        <v>48</v>
      </c>
      <c r="O296" s="8"/>
      <c r="P296" s="8" t="s">
        <v>191</v>
      </c>
    </row>
    <row r="297" spans="1:16" ht="15.75" hidden="1" customHeight="1" x14ac:dyDescent="0.2">
      <c r="A297" s="7" t="s">
        <v>36</v>
      </c>
      <c r="B297" s="7" t="s">
        <v>187</v>
      </c>
      <c r="C297" s="7" t="s">
        <v>187</v>
      </c>
      <c r="D297" s="8" t="s">
        <v>188</v>
      </c>
      <c r="E297" s="9">
        <v>197713</v>
      </c>
      <c r="F297" s="9">
        <v>1082614</v>
      </c>
      <c r="G297" s="9">
        <v>9.7826170000000001</v>
      </c>
      <c r="H297" s="9">
        <v>-83.755382999999995</v>
      </c>
      <c r="I297" s="7">
        <v>1158</v>
      </c>
      <c r="J297" s="7" t="s">
        <v>26</v>
      </c>
      <c r="K297" s="10">
        <v>41931</v>
      </c>
      <c r="L297" s="10">
        <v>42011</v>
      </c>
      <c r="M297" s="11">
        <f t="shared" si="14"/>
        <v>81</v>
      </c>
      <c r="N297" s="11">
        <f t="shared" si="1"/>
        <v>81</v>
      </c>
      <c r="O297" s="8"/>
      <c r="P297" s="8" t="s">
        <v>188</v>
      </c>
    </row>
    <row r="298" spans="1:16" ht="15.75" hidden="1" customHeight="1" x14ac:dyDescent="0.2">
      <c r="A298" s="7" t="s">
        <v>36</v>
      </c>
      <c r="B298" s="7" t="s">
        <v>187</v>
      </c>
      <c r="C298" s="7" t="s">
        <v>187</v>
      </c>
      <c r="D298" s="8" t="s">
        <v>191</v>
      </c>
      <c r="E298" s="9">
        <v>197795</v>
      </c>
      <c r="F298" s="9">
        <v>1082371</v>
      </c>
      <c r="G298" s="9">
        <v>9.7804330000000004</v>
      </c>
      <c r="H298" s="9">
        <v>-83.754616999999996</v>
      </c>
      <c r="I298" s="7">
        <v>1225</v>
      </c>
      <c r="J298" s="7" t="s">
        <v>26</v>
      </c>
      <c r="K298" s="10">
        <v>41937</v>
      </c>
      <c r="L298" s="10">
        <v>42006</v>
      </c>
      <c r="M298" s="11">
        <f t="shared" si="14"/>
        <v>70</v>
      </c>
      <c r="N298" s="11">
        <f t="shared" si="1"/>
        <v>70</v>
      </c>
      <c r="O298" s="8"/>
      <c r="P298" s="8" t="s">
        <v>191</v>
      </c>
    </row>
    <row r="299" spans="1:16" ht="15.75" hidden="1" customHeight="1" x14ac:dyDescent="0.2">
      <c r="A299" s="7" t="s">
        <v>192</v>
      </c>
      <c r="B299" s="7" t="s">
        <v>187</v>
      </c>
      <c r="C299" s="7" t="s">
        <v>187</v>
      </c>
      <c r="D299" s="8" t="s">
        <v>191</v>
      </c>
      <c r="E299" s="9">
        <v>197795</v>
      </c>
      <c r="F299" s="9">
        <v>1082371</v>
      </c>
      <c r="G299" s="9">
        <v>9.7804330000000004</v>
      </c>
      <c r="H299" s="9">
        <v>-83.754616999999996</v>
      </c>
      <c r="I299" s="7">
        <v>1225</v>
      </c>
      <c r="J299" s="7" t="s">
        <v>26</v>
      </c>
      <c r="K299" s="10">
        <v>42442</v>
      </c>
      <c r="L299" s="10">
        <v>42630</v>
      </c>
      <c r="M299" s="11">
        <f t="shared" si="14"/>
        <v>189</v>
      </c>
      <c r="N299" s="11">
        <f t="shared" si="1"/>
        <v>189</v>
      </c>
      <c r="O299" s="8"/>
      <c r="P299" s="8" t="s">
        <v>191</v>
      </c>
    </row>
    <row r="300" spans="1:16" ht="15.75" hidden="1" customHeight="1" x14ac:dyDescent="0.2">
      <c r="A300" s="7" t="s">
        <v>42</v>
      </c>
      <c r="B300" s="7" t="s">
        <v>187</v>
      </c>
      <c r="C300" s="7" t="s">
        <v>187</v>
      </c>
      <c r="D300" s="8" t="s">
        <v>188</v>
      </c>
      <c r="E300" s="9">
        <v>197713</v>
      </c>
      <c r="F300" s="9">
        <v>1082614</v>
      </c>
      <c r="G300" s="9">
        <v>9.7826170000000001</v>
      </c>
      <c r="H300" s="9">
        <v>-83.755382999999995</v>
      </c>
      <c r="I300" s="7">
        <v>1158</v>
      </c>
      <c r="J300" s="7" t="s">
        <v>26</v>
      </c>
      <c r="K300" s="10">
        <v>41735</v>
      </c>
      <c r="L300" s="10">
        <v>41803</v>
      </c>
      <c r="M300" s="11">
        <f t="shared" si="14"/>
        <v>69</v>
      </c>
      <c r="N300" s="11">
        <f t="shared" si="1"/>
        <v>69</v>
      </c>
      <c r="O300" s="8"/>
      <c r="P300" s="8" t="s">
        <v>188</v>
      </c>
    </row>
    <row r="301" spans="1:16" ht="15.75" hidden="1" customHeight="1" x14ac:dyDescent="0.2">
      <c r="A301" s="7" t="s">
        <v>16</v>
      </c>
      <c r="B301" s="7" t="s">
        <v>187</v>
      </c>
      <c r="C301" s="7" t="s">
        <v>187</v>
      </c>
      <c r="D301" s="8" t="s">
        <v>191</v>
      </c>
      <c r="E301" s="9">
        <v>197795</v>
      </c>
      <c r="F301" s="9">
        <v>1082371</v>
      </c>
      <c r="G301" s="9">
        <v>9.7804330000000004</v>
      </c>
      <c r="H301" s="9">
        <v>-83.754616999999996</v>
      </c>
      <c r="I301" s="7">
        <v>1225</v>
      </c>
      <c r="J301" s="7" t="s">
        <v>26</v>
      </c>
      <c r="K301" s="10">
        <v>41541</v>
      </c>
      <c r="L301" s="10">
        <v>41622</v>
      </c>
      <c r="M301" s="11">
        <f t="shared" si="14"/>
        <v>82</v>
      </c>
      <c r="N301" s="11">
        <f t="shared" si="1"/>
        <v>82</v>
      </c>
      <c r="O301" s="8"/>
      <c r="P301" s="8" t="s">
        <v>191</v>
      </c>
    </row>
    <row r="302" spans="1:16" ht="15.75" hidden="1" customHeight="1" x14ac:dyDescent="0.2">
      <c r="A302" s="7" t="s">
        <v>193</v>
      </c>
      <c r="B302" s="7" t="s">
        <v>187</v>
      </c>
      <c r="C302" s="7" t="s">
        <v>187</v>
      </c>
      <c r="D302" s="8" t="s">
        <v>188</v>
      </c>
      <c r="E302" s="9">
        <v>197713</v>
      </c>
      <c r="F302" s="9">
        <v>1082614</v>
      </c>
      <c r="G302" s="9">
        <v>9.7826170000000001</v>
      </c>
      <c r="H302" s="9">
        <v>-83.755382999999995</v>
      </c>
      <c r="I302" s="7">
        <v>1158</v>
      </c>
      <c r="J302" s="7" t="s">
        <v>26</v>
      </c>
      <c r="K302" s="10">
        <v>41467</v>
      </c>
      <c r="L302" s="10">
        <v>41491</v>
      </c>
      <c r="M302" s="11">
        <f t="shared" si="14"/>
        <v>25</v>
      </c>
      <c r="N302" s="11">
        <f t="shared" si="1"/>
        <v>25</v>
      </c>
      <c r="O302" s="8"/>
      <c r="P302" s="8" t="s">
        <v>188</v>
      </c>
    </row>
    <row r="303" spans="1:16" ht="15.75" hidden="1" customHeight="1" x14ac:dyDescent="0.2">
      <c r="A303" s="7" t="s">
        <v>16</v>
      </c>
      <c r="B303" s="7" t="s">
        <v>187</v>
      </c>
      <c r="C303" s="7" t="s">
        <v>187</v>
      </c>
      <c r="D303" s="8" t="s">
        <v>191</v>
      </c>
      <c r="E303" s="9">
        <v>197795</v>
      </c>
      <c r="F303" s="9">
        <v>1082371</v>
      </c>
      <c r="G303" s="9">
        <v>9.7804330000000004</v>
      </c>
      <c r="H303" s="9">
        <v>-83.754616999999996</v>
      </c>
      <c r="I303" s="7">
        <v>1225</v>
      </c>
      <c r="J303" s="7" t="s">
        <v>26</v>
      </c>
      <c r="K303" s="10">
        <v>41467</v>
      </c>
      <c r="L303" s="10">
        <v>41491</v>
      </c>
      <c r="M303" s="11">
        <f t="shared" si="14"/>
        <v>25</v>
      </c>
      <c r="N303" s="11">
        <f t="shared" si="1"/>
        <v>25</v>
      </c>
      <c r="O303" s="8"/>
      <c r="P303" s="8" t="s">
        <v>191</v>
      </c>
    </row>
    <row r="304" spans="1:16" ht="15.75" hidden="1" customHeight="1" x14ac:dyDescent="0.2">
      <c r="A304" s="7" t="s">
        <v>194</v>
      </c>
      <c r="B304" s="7" t="s">
        <v>187</v>
      </c>
      <c r="C304" s="7" t="s">
        <v>187</v>
      </c>
      <c r="D304" s="7" t="s">
        <v>191</v>
      </c>
      <c r="E304" s="7">
        <v>197795</v>
      </c>
      <c r="F304" s="7">
        <v>1082371</v>
      </c>
      <c r="G304" s="7">
        <v>9.7804301420000002</v>
      </c>
      <c r="H304" s="7">
        <v>-83.754620860000003</v>
      </c>
      <c r="I304" s="7">
        <v>1225</v>
      </c>
      <c r="J304" s="7" t="s">
        <v>26</v>
      </c>
      <c r="K304" s="10">
        <v>42208</v>
      </c>
      <c r="L304" s="10">
        <v>42325</v>
      </c>
      <c r="M304" s="11">
        <f t="shared" si="14"/>
        <v>118</v>
      </c>
      <c r="N304" s="11">
        <f t="shared" si="1"/>
        <v>118</v>
      </c>
      <c r="O304" s="8" t="s">
        <v>62</v>
      </c>
      <c r="P304" s="7" t="s">
        <v>191</v>
      </c>
    </row>
    <row r="305" spans="1:16" ht="15.75" hidden="1" customHeight="1" x14ac:dyDescent="0.2">
      <c r="A305" s="7" t="s">
        <v>195</v>
      </c>
      <c r="B305" s="7" t="s">
        <v>196</v>
      </c>
      <c r="C305" s="7" t="s">
        <v>196</v>
      </c>
      <c r="D305" s="8" t="s">
        <v>197</v>
      </c>
      <c r="E305" s="9">
        <v>272827.14</v>
      </c>
      <c r="F305" s="9">
        <v>1011055.56</v>
      </c>
      <c r="G305" s="9">
        <v>9.1406700000000001</v>
      </c>
      <c r="H305" s="9">
        <v>-83.0672</v>
      </c>
      <c r="I305" s="7">
        <v>2207</v>
      </c>
      <c r="J305" s="7" t="s">
        <v>26</v>
      </c>
      <c r="K305" s="10">
        <v>43293</v>
      </c>
      <c r="L305" s="10">
        <v>43453</v>
      </c>
      <c r="M305" s="11">
        <v>73</v>
      </c>
      <c r="N305" s="11">
        <f t="shared" si="1"/>
        <v>161</v>
      </c>
      <c r="O305" s="8"/>
      <c r="P305" s="8" t="s">
        <v>198</v>
      </c>
    </row>
    <row r="306" spans="1:16" ht="15.75" hidden="1" customHeight="1" x14ac:dyDescent="0.2">
      <c r="A306" s="7" t="s">
        <v>195</v>
      </c>
      <c r="B306" s="7" t="s">
        <v>196</v>
      </c>
      <c r="C306" s="7" t="s">
        <v>196</v>
      </c>
      <c r="D306" s="8" t="s">
        <v>199</v>
      </c>
      <c r="E306" s="9">
        <v>273338.88</v>
      </c>
      <c r="F306" s="9">
        <v>1016508.91</v>
      </c>
      <c r="G306" s="9">
        <v>9.1899899999999999</v>
      </c>
      <c r="H306" s="9">
        <v>-83.062830000000005</v>
      </c>
      <c r="I306" s="7">
        <v>2852</v>
      </c>
      <c r="J306" s="7" t="s">
        <v>26</v>
      </c>
      <c r="K306" s="10">
        <v>43293</v>
      </c>
      <c r="L306" s="10">
        <v>43453</v>
      </c>
      <c r="M306" s="11">
        <v>87</v>
      </c>
      <c r="N306" s="11">
        <f t="shared" si="1"/>
        <v>161</v>
      </c>
      <c r="O306" s="8"/>
      <c r="P306" s="8" t="s">
        <v>200</v>
      </c>
    </row>
    <row r="307" spans="1:16" ht="15.75" hidden="1" customHeight="1" x14ac:dyDescent="0.2">
      <c r="A307" s="7" t="s">
        <v>195</v>
      </c>
      <c r="B307" s="7" t="s">
        <v>196</v>
      </c>
      <c r="C307" s="7" t="s">
        <v>196</v>
      </c>
      <c r="D307" s="8" t="s">
        <v>201</v>
      </c>
      <c r="E307" s="9">
        <v>271915.68</v>
      </c>
      <c r="F307" s="9">
        <v>1020930.22</v>
      </c>
      <c r="G307" s="9">
        <v>9.2298799999999996</v>
      </c>
      <c r="H307" s="9">
        <v>-83.076009999999997</v>
      </c>
      <c r="I307" s="7">
        <v>2844</v>
      </c>
      <c r="J307" s="7" t="s">
        <v>26</v>
      </c>
      <c r="K307" s="10">
        <v>43293</v>
      </c>
      <c r="L307" s="10">
        <v>43453</v>
      </c>
      <c r="M307" s="11">
        <v>158</v>
      </c>
      <c r="N307" s="11">
        <f t="shared" si="1"/>
        <v>161</v>
      </c>
      <c r="O307" s="8"/>
      <c r="P307" s="8" t="s">
        <v>202</v>
      </c>
    </row>
    <row r="308" spans="1:16" ht="15.75" hidden="1" customHeight="1" x14ac:dyDescent="0.2">
      <c r="A308" s="7" t="s">
        <v>195</v>
      </c>
      <c r="B308" s="7" t="s">
        <v>196</v>
      </c>
      <c r="C308" s="7" t="s">
        <v>196</v>
      </c>
      <c r="D308" s="8" t="s">
        <v>203</v>
      </c>
      <c r="E308" s="9">
        <v>273258.36</v>
      </c>
      <c r="F308" s="9">
        <v>1023692.63</v>
      </c>
      <c r="G308" s="9">
        <v>9.2549200000000003</v>
      </c>
      <c r="H308" s="9">
        <v>-83.063940000000002</v>
      </c>
      <c r="I308" s="7">
        <v>3072</v>
      </c>
      <c r="J308" s="7" t="s">
        <v>26</v>
      </c>
      <c r="K308" s="10">
        <v>43293</v>
      </c>
      <c r="L308" s="10">
        <v>43453</v>
      </c>
      <c r="M308" s="11">
        <v>75</v>
      </c>
      <c r="N308" s="11">
        <f t="shared" si="1"/>
        <v>161</v>
      </c>
      <c r="O308" s="8"/>
      <c r="P308" s="8" t="s">
        <v>204</v>
      </c>
    </row>
    <row r="309" spans="1:16" ht="15.75" hidden="1" customHeight="1" x14ac:dyDescent="0.2">
      <c r="A309" s="7" t="s">
        <v>195</v>
      </c>
      <c r="B309" s="7" t="s">
        <v>196</v>
      </c>
      <c r="C309" s="7" t="s">
        <v>196</v>
      </c>
      <c r="D309" s="8" t="s">
        <v>205</v>
      </c>
      <c r="E309" s="9">
        <v>275845.73</v>
      </c>
      <c r="F309" s="9">
        <v>1024680.03</v>
      </c>
      <c r="G309" s="9">
        <v>9.2639800000000001</v>
      </c>
      <c r="H309" s="9">
        <v>-83.040450000000007</v>
      </c>
      <c r="I309" s="7">
        <v>3322</v>
      </c>
      <c r="J309" s="7" t="s">
        <v>26</v>
      </c>
      <c r="K309" s="10">
        <v>43293</v>
      </c>
      <c r="L309" s="10">
        <v>43453</v>
      </c>
      <c r="M309" s="11">
        <v>129</v>
      </c>
      <c r="N309" s="11">
        <f t="shared" si="1"/>
        <v>161</v>
      </c>
      <c r="O309" s="8"/>
      <c r="P309" s="8" t="s">
        <v>205</v>
      </c>
    </row>
    <row r="310" spans="1:16" ht="15.75" hidden="1" customHeight="1" x14ac:dyDescent="0.2">
      <c r="A310" s="7" t="s">
        <v>195</v>
      </c>
      <c r="B310" s="7" t="s">
        <v>196</v>
      </c>
      <c r="C310" s="7" t="s">
        <v>196</v>
      </c>
      <c r="D310" s="8" t="s">
        <v>206</v>
      </c>
      <c r="E310" s="9">
        <v>273078.33</v>
      </c>
      <c r="F310" s="9">
        <v>1013063.17</v>
      </c>
      <c r="G310" s="9">
        <v>9.15883</v>
      </c>
      <c r="H310" s="9">
        <v>-83.065020000000004</v>
      </c>
      <c r="I310" s="7">
        <v>2454</v>
      </c>
      <c r="J310" s="7" t="s">
        <v>26</v>
      </c>
      <c r="K310" s="10">
        <v>43293</v>
      </c>
      <c r="L310" s="10">
        <v>43453</v>
      </c>
      <c r="M310" s="11">
        <f t="shared" ref="M310:M351" si="15">IF(ISBLANK(K310),0,IF(ISBLANK(L310),0,L310-K310+1))</f>
        <v>161</v>
      </c>
      <c r="N310" s="11">
        <f t="shared" si="1"/>
        <v>161</v>
      </c>
      <c r="O310" s="8"/>
      <c r="P310" s="8" t="s">
        <v>207</v>
      </c>
    </row>
    <row r="311" spans="1:16" ht="15.75" hidden="1" customHeight="1" x14ac:dyDescent="0.2">
      <c r="A311" s="7" t="s">
        <v>195</v>
      </c>
      <c r="B311" s="7" t="s">
        <v>196</v>
      </c>
      <c r="C311" s="7" t="s">
        <v>196</v>
      </c>
      <c r="D311" s="8" t="s">
        <v>208</v>
      </c>
      <c r="E311" s="9">
        <v>273721.56</v>
      </c>
      <c r="F311" s="9">
        <v>1014423.55</v>
      </c>
      <c r="G311" s="9">
        <v>9.1711600000000004</v>
      </c>
      <c r="H311" s="9">
        <v>-83.059240000000003</v>
      </c>
      <c r="I311" s="7">
        <v>2706</v>
      </c>
      <c r="J311" s="7" t="s">
        <v>26</v>
      </c>
      <c r="K311" s="10">
        <v>43293</v>
      </c>
      <c r="L311" s="10">
        <v>43453</v>
      </c>
      <c r="M311" s="11">
        <f t="shared" si="15"/>
        <v>161</v>
      </c>
      <c r="N311" s="11">
        <f t="shared" si="1"/>
        <v>161</v>
      </c>
      <c r="O311" s="8"/>
      <c r="P311" s="8" t="s">
        <v>209</v>
      </c>
    </row>
    <row r="312" spans="1:16" ht="15.75" hidden="1" customHeight="1" x14ac:dyDescent="0.2">
      <c r="A312" s="7" t="s">
        <v>195</v>
      </c>
      <c r="B312" s="7" t="s">
        <v>196</v>
      </c>
      <c r="C312" s="7" t="s">
        <v>196</v>
      </c>
      <c r="D312" s="8" t="s">
        <v>210</v>
      </c>
      <c r="E312" s="9">
        <v>273852.57</v>
      </c>
      <c r="F312" s="9">
        <v>1017905.44</v>
      </c>
      <c r="G312" s="9">
        <v>9.2026400000000006</v>
      </c>
      <c r="H312" s="9">
        <v>-83.058229999999995</v>
      </c>
      <c r="I312" s="7">
        <v>2969</v>
      </c>
      <c r="J312" s="7" t="s">
        <v>26</v>
      </c>
      <c r="K312" s="10">
        <v>43293</v>
      </c>
      <c r="L312" s="10">
        <v>43453</v>
      </c>
      <c r="M312" s="11">
        <f t="shared" si="15"/>
        <v>161</v>
      </c>
      <c r="N312" s="11">
        <f t="shared" si="1"/>
        <v>161</v>
      </c>
      <c r="O312" s="8"/>
      <c r="P312" s="8" t="s">
        <v>211</v>
      </c>
    </row>
    <row r="313" spans="1:16" ht="15.75" hidden="1" customHeight="1" x14ac:dyDescent="0.2">
      <c r="A313" s="7" t="s">
        <v>195</v>
      </c>
      <c r="B313" s="7" t="s">
        <v>196</v>
      </c>
      <c r="C313" s="7" t="s">
        <v>196</v>
      </c>
      <c r="D313" s="8" t="s">
        <v>212</v>
      </c>
      <c r="E313" s="9">
        <v>272258.24</v>
      </c>
      <c r="F313" s="9">
        <v>1022756.97</v>
      </c>
      <c r="G313" s="9">
        <v>9.2464099999999991</v>
      </c>
      <c r="H313" s="9">
        <v>-83.072990000000004</v>
      </c>
      <c r="I313" s="7">
        <v>2979</v>
      </c>
      <c r="J313" s="7" t="s">
        <v>26</v>
      </c>
      <c r="K313" s="10">
        <v>43293</v>
      </c>
      <c r="L313" s="10">
        <v>43453</v>
      </c>
      <c r="M313" s="11">
        <f t="shared" si="15"/>
        <v>161</v>
      </c>
      <c r="N313" s="11">
        <f t="shared" si="1"/>
        <v>161</v>
      </c>
      <c r="O313" s="8"/>
      <c r="P313" s="8" t="s">
        <v>213</v>
      </c>
    </row>
    <row r="314" spans="1:16" ht="15.75" hidden="1" customHeight="1" x14ac:dyDescent="0.2">
      <c r="A314" s="7" t="s">
        <v>195</v>
      </c>
      <c r="B314" s="7" t="s">
        <v>196</v>
      </c>
      <c r="C314" s="7" t="s">
        <v>196</v>
      </c>
      <c r="D314" s="8" t="s">
        <v>214</v>
      </c>
      <c r="E314" s="9">
        <v>274760.90000000002</v>
      </c>
      <c r="F314" s="9">
        <v>1024094.39</v>
      </c>
      <c r="G314" s="9">
        <v>9.2586300000000001</v>
      </c>
      <c r="H314" s="9">
        <v>-83.050290000000004</v>
      </c>
      <c r="I314" s="7">
        <v>3196</v>
      </c>
      <c r="J314" s="7" t="s">
        <v>26</v>
      </c>
      <c r="K314" s="10">
        <v>43293</v>
      </c>
      <c r="L314" s="10">
        <v>43453</v>
      </c>
      <c r="M314" s="11">
        <f t="shared" si="15"/>
        <v>161</v>
      </c>
      <c r="N314" s="11">
        <f t="shared" si="1"/>
        <v>161</v>
      </c>
      <c r="O314" s="8"/>
      <c r="P314" s="8" t="s">
        <v>215</v>
      </c>
    </row>
    <row r="315" spans="1:16" ht="15.75" hidden="1" customHeight="1" x14ac:dyDescent="0.2">
      <c r="A315" s="19" t="s">
        <v>216</v>
      </c>
      <c r="B315" s="19" t="s">
        <v>196</v>
      </c>
      <c r="C315" s="19" t="s">
        <v>196</v>
      </c>
      <c r="D315" s="27" t="s">
        <v>197</v>
      </c>
      <c r="E315" s="28">
        <v>272827.14</v>
      </c>
      <c r="F315" s="28">
        <v>1011055.56</v>
      </c>
      <c r="G315" s="28">
        <v>9.1406700000000001</v>
      </c>
      <c r="H315" s="28">
        <v>-83.0672</v>
      </c>
      <c r="I315" s="19">
        <v>2207</v>
      </c>
      <c r="J315" s="19" t="s">
        <v>26</v>
      </c>
      <c r="K315" s="29">
        <v>43633</v>
      </c>
      <c r="L315" s="29">
        <v>43843</v>
      </c>
      <c r="M315" s="30">
        <f t="shared" si="15"/>
        <v>211</v>
      </c>
      <c r="N315" s="11">
        <f t="shared" si="1"/>
        <v>211</v>
      </c>
      <c r="O315" s="8"/>
      <c r="P315" s="27" t="s">
        <v>217</v>
      </c>
    </row>
    <row r="316" spans="1:16" ht="15.75" hidden="1" customHeight="1" x14ac:dyDescent="0.2">
      <c r="A316" s="19" t="s">
        <v>216</v>
      </c>
      <c r="B316" s="19" t="s">
        <v>196</v>
      </c>
      <c r="C316" s="19" t="s">
        <v>196</v>
      </c>
      <c r="D316" s="27" t="s">
        <v>206</v>
      </c>
      <c r="E316" s="28">
        <v>273078.33</v>
      </c>
      <c r="F316" s="28">
        <v>1013063.17</v>
      </c>
      <c r="G316" s="28">
        <v>9.15883</v>
      </c>
      <c r="H316" s="28">
        <v>-83.065020000000004</v>
      </c>
      <c r="I316" s="19">
        <v>2454</v>
      </c>
      <c r="J316" s="19" t="s">
        <v>26</v>
      </c>
      <c r="K316" s="29">
        <v>43634</v>
      </c>
      <c r="L316" s="29">
        <v>43841</v>
      </c>
      <c r="M316" s="30">
        <f t="shared" si="15"/>
        <v>208</v>
      </c>
      <c r="N316" s="11">
        <f t="shared" si="1"/>
        <v>208</v>
      </c>
      <c r="O316" s="8"/>
      <c r="P316" s="27" t="s">
        <v>218</v>
      </c>
    </row>
    <row r="317" spans="1:16" ht="15.75" hidden="1" customHeight="1" x14ac:dyDescent="0.2">
      <c r="A317" s="19" t="s">
        <v>216</v>
      </c>
      <c r="B317" s="19" t="s">
        <v>196</v>
      </c>
      <c r="C317" s="19" t="s">
        <v>196</v>
      </c>
      <c r="D317" s="27" t="s">
        <v>208</v>
      </c>
      <c r="E317" s="28">
        <v>273721.56</v>
      </c>
      <c r="F317" s="28">
        <v>1014423.55</v>
      </c>
      <c r="G317" s="28">
        <v>9.1711600000000004</v>
      </c>
      <c r="H317" s="28">
        <v>-83.059240000000003</v>
      </c>
      <c r="I317" s="19">
        <v>2706</v>
      </c>
      <c r="J317" s="19" t="s">
        <v>26</v>
      </c>
      <c r="K317" s="29">
        <v>43633</v>
      </c>
      <c r="L317" s="29">
        <v>43841</v>
      </c>
      <c r="M317" s="30">
        <f t="shared" si="15"/>
        <v>209</v>
      </c>
      <c r="N317" s="11">
        <f t="shared" si="1"/>
        <v>209</v>
      </c>
      <c r="O317" s="8"/>
      <c r="P317" s="27" t="s">
        <v>219</v>
      </c>
    </row>
    <row r="318" spans="1:16" ht="15.75" hidden="1" customHeight="1" x14ac:dyDescent="0.2">
      <c r="A318" s="19" t="s">
        <v>216</v>
      </c>
      <c r="B318" s="19" t="s">
        <v>196</v>
      </c>
      <c r="C318" s="19" t="s">
        <v>196</v>
      </c>
      <c r="D318" s="27" t="s">
        <v>199</v>
      </c>
      <c r="E318" s="28">
        <v>273338.88</v>
      </c>
      <c r="F318" s="28">
        <v>1016508.91</v>
      </c>
      <c r="G318" s="28">
        <v>9.1899899999999999</v>
      </c>
      <c r="H318" s="28">
        <v>-83.062830000000005</v>
      </c>
      <c r="I318" s="19">
        <v>2852</v>
      </c>
      <c r="J318" s="19" t="s">
        <v>26</v>
      </c>
      <c r="K318" s="29">
        <v>43634</v>
      </c>
      <c r="L318" s="29">
        <v>43841</v>
      </c>
      <c r="M318" s="30">
        <f t="shared" si="15"/>
        <v>208</v>
      </c>
      <c r="N318" s="11">
        <f t="shared" si="1"/>
        <v>208</v>
      </c>
      <c r="O318" s="8"/>
      <c r="P318" s="27" t="s">
        <v>220</v>
      </c>
    </row>
    <row r="319" spans="1:16" ht="15.75" hidden="1" customHeight="1" x14ac:dyDescent="0.2">
      <c r="A319" s="19" t="s">
        <v>216</v>
      </c>
      <c r="B319" s="19" t="s">
        <v>196</v>
      </c>
      <c r="C319" s="19" t="s">
        <v>196</v>
      </c>
      <c r="D319" s="27" t="s">
        <v>210</v>
      </c>
      <c r="E319" s="28">
        <v>273852.57</v>
      </c>
      <c r="F319" s="28">
        <v>1017905.44</v>
      </c>
      <c r="G319" s="28">
        <v>9.2026400000000006</v>
      </c>
      <c r="H319" s="28">
        <v>-83.058229999999995</v>
      </c>
      <c r="I319" s="19">
        <v>2969</v>
      </c>
      <c r="J319" s="19" t="s">
        <v>26</v>
      </c>
      <c r="K319" s="29">
        <v>43634</v>
      </c>
      <c r="L319" s="29">
        <v>43841</v>
      </c>
      <c r="M319" s="30">
        <f t="shared" si="15"/>
        <v>208</v>
      </c>
      <c r="N319" s="11">
        <f t="shared" si="1"/>
        <v>208</v>
      </c>
      <c r="O319" s="8"/>
      <c r="P319" s="27" t="s">
        <v>221</v>
      </c>
    </row>
    <row r="320" spans="1:16" ht="15.75" hidden="1" customHeight="1" x14ac:dyDescent="0.2">
      <c r="A320" s="19" t="s">
        <v>216</v>
      </c>
      <c r="B320" s="19" t="s">
        <v>196</v>
      </c>
      <c r="C320" s="19" t="s">
        <v>196</v>
      </c>
      <c r="D320" s="27" t="s">
        <v>201</v>
      </c>
      <c r="E320" s="28">
        <v>271915.68</v>
      </c>
      <c r="F320" s="28">
        <v>1020930.22</v>
      </c>
      <c r="G320" s="28">
        <v>9.2298799999999996</v>
      </c>
      <c r="H320" s="28">
        <v>-83.076009999999997</v>
      </c>
      <c r="I320" s="19">
        <v>2844</v>
      </c>
      <c r="J320" s="19" t="s">
        <v>26</v>
      </c>
      <c r="K320" s="29">
        <v>43633</v>
      </c>
      <c r="L320" s="29">
        <v>43813</v>
      </c>
      <c r="M320" s="30">
        <f t="shared" si="15"/>
        <v>181</v>
      </c>
      <c r="N320" s="11">
        <f t="shared" si="1"/>
        <v>181</v>
      </c>
      <c r="O320" s="8"/>
      <c r="P320" s="27" t="s">
        <v>222</v>
      </c>
    </row>
    <row r="321" spans="1:16" ht="15.75" hidden="1" customHeight="1" x14ac:dyDescent="0.2">
      <c r="A321" s="19" t="s">
        <v>216</v>
      </c>
      <c r="B321" s="19" t="s">
        <v>196</v>
      </c>
      <c r="C321" s="19" t="s">
        <v>196</v>
      </c>
      <c r="D321" s="27" t="s">
        <v>212</v>
      </c>
      <c r="E321" s="28">
        <v>272258.24</v>
      </c>
      <c r="F321" s="28">
        <v>1022756.97</v>
      </c>
      <c r="G321" s="28">
        <v>9.2464099999999991</v>
      </c>
      <c r="H321" s="28">
        <v>-83.072990000000004</v>
      </c>
      <c r="I321" s="19">
        <v>2979</v>
      </c>
      <c r="J321" s="19" t="s">
        <v>26</v>
      </c>
      <c r="K321" s="29">
        <v>42738</v>
      </c>
      <c r="L321" s="29">
        <v>42813</v>
      </c>
      <c r="M321" s="30">
        <f t="shared" si="15"/>
        <v>76</v>
      </c>
      <c r="N321" s="11">
        <f t="shared" si="1"/>
        <v>76</v>
      </c>
      <c r="O321" s="8"/>
      <c r="P321" s="27" t="s">
        <v>223</v>
      </c>
    </row>
    <row r="322" spans="1:16" ht="15.75" hidden="1" customHeight="1" x14ac:dyDescent="0.2">
      <c r="A322" s="19" t="s">
        <v>216</v>
      </c>
      <c r="B322" s="19" t="s">
        <v>196</v>
      </c>
      <c r="C322" s="19" t="s">
        <v>196</v>
      </c>
      <c r="D322" s="27" t="s">
        <v>203</v>
      </c>
      <c r="E322" s="28">
        <v>273258.36</v>
      </c>
      <c r="F322" s="28">
        <v>1023692.63</v>
      </c>
      <c r="G322" s="28">
        <v>9.2549200000000003</v>
      </c>
      <c r="H322" s="28">
        <v>-83.063940000000002</v>
      </c>
      <c r="I322" s="19">
        <v>3072</v>
      </c>
      <c r="J322" s="19" t="s">
        <v>26</v>
      </c>
      <c r="K322" s="29">
        <v>43637</v>
      </c>
      <c r="L322" s="29">
        <v>43652</v>
      </c>
      <c r="M322" s="30">
        <f t="shared" si="15"/>
        <v>16</v>
      </c>
      <c r="N322" s="11">
        <f t="shared" si="1"/>
        <v>16</v>
      </c>
      <c r="O322" s="8"/>
      <c r="P322" s="27" t="s">
        <v>224</v>
      </c>
    </row>
    <row r="323" spans="1:16" ht="15.75" hidden="1" customHeight="1" x14ac:dyDescent="0.2">
      <c r="A323" s="19" t="s">
        <v>216</v>
      </c>
      <c r="B323" s="19" t="s">
        <v>196</v>
      </c>
      <c r="C323" s="19" t="s">
        <v>196</v>
      </c>
      <c r="D323" s="27" t="s">
        <v>214</v>
      </c>
      <c r="E323" s="28">
        <v>274760.90000000002</v>
      </c>
      <c r="F323" s="28">
        <v>1024094.39</v>
      </c>
      <c r="G323" s="28">
        <v>9.2586300000000001</v>
      </c>
      <c r="H323" s="28">
        <v>-83.050290000000004</v>
      </c>
      <c r="I323" s="19">
        <v>3196</v>
      </c>
      <c r="J323" s="19" t="s">
        <v>26</v>
      </c>
      <c r="K323" s="29">
        <v>43637</v>
      </c>
      <c r="L323" s="29">
        <v>43842</v>
      </c>
      <c r="M323" s="30">
        <f t="shared" si="15"/>
        <v>206</v>
      </c>
      <c r="N323" s="11">
        <f t="shared" si="1"/>
        <v>206</v>
      </c>
      <c r="O323" s="8"/>
      <c r="P323" s="27" t="s">
        <v>225</v>
      </c>
    </row>
    <row r="324" spans="1:16" ht="15.75" hidden="1" customHeight="1" x14ac:dyDescent="0.2">
      <c r="A324" s="19" t="s">
        <v>216</v>
      </c>
      <c r="B324" s="19" t="s">
        <v>196</v>
      </c>
      <c r="C324" s="19" t="s">
        <v>196</v>
      </c>
      <c r="D324" s="27" t="s">
        <v>205</v>
      </c>
      <c r="E324" s="28">
        <v>275845.73</v>
      </c>
      <c r="F324" s="28">
        <v>1024680.03</v>
      </c>
      <c r="G324" s="28">
        <v>9.2639800000000001</v>
      </c>
      <c r="H324" s="28">
        <v>-83.040450000000007</v>
      </c>
      <c r="I324" s="19">
        <v>3322</v>
      </c>
      <c r="J324" s="19" t="s">
        <v>26</v>
      </c>
      <c r="K324" s="29">
        <v>43636</v>
      </c>
      <c r="L324" s="29">
        <v>43663</v>
      </c>
      <c r="M324" s="30">
        <f t="shared" si="15"/>
        <v>28</v>
      </c>
      <c r="N324" s="11">
        <f t="shared" si="1"/>
        <v>28</v>
      </c>
      <c r="O324" s="8"/>
      <c r="P324" s="27" t="s">
        <v>226</v>
      </c>
    </row>
    <row r="325" spans="1:16" ht="15.75" hidden="1" customHeight="1" x14ac:dyDescent="0.2">
      <c r="A325" s="14" t="s">
        <v>227</v>
      </c>
      <c r="B325" s="14" t="s">
        <v>196</v>
      </c>
      <c r="C325" s="14" t="s">
        <v>196</v>
      </c>
      <c r="D325" s="27" t="s">
        <v>197</v>
      </c>
      <c r="E325" s="28">
        <v>272827.14</v>
      </c>
      <c r="F325" s="28">
        <v>1011055.56</v>
      </c>
      <c r="G325" s="28">
        <v>9.1406700000000001</v>
      </c>
      <c r="H325" s="28">
        <v>-83.0672</v>
      </c>
      <c r="I325" s="19">
        <v>2207</v>
      </c>
      <c r="J325" s="14" t="s">
        <v>26</v>
      </c>
      <c r="K325" s="17">
        <v>43531</v>
      </c>
      <c r="L325" s="17">
        <v>43576</v>
      </c>
      <c r="M325" s="18">
        <f t="shared" si="15"/>
        <v>46</v>
      </c>
      <c r="N325" s="11">
        <f t="shared" si="1"/>
        <v>46</v>
      </c>
      <c r="O325" s="15" t="s">
        <v>228</v>
      </c>
      <c r="P325" s="15" t="s">
        <v>198</v>
      </c>
    </row>
    <row r="326" spans="1:16" ht="15.75" hidden="1" customHeight="1" x14ac:dyDescent="0.2">
      <c r="A326" s="14" t="s">
        <v>227</v>
      </c>
      <c r="B326" s="14" t="s">
        <v>196</v>
      </c>
      <c r="C326" s="14" t="s">
        <v>196</v>
      </c>
      <c r="D326" s="8" t="s">
        <v>206</v>
      </c>
      <c r="E326" s="28">
        <v>273078.33</v>
      </c>
      <c r="F326" s="28">
        <v>1013063.17</v>
      </c>
      <c r="G326" s="28">
        <v>9.15883</v>
      </c>
      <c r="H326" s="28">
        <v>-83.065020000000004</v>
      </c>
      <c r="I326" s="19">
        <v>2454</v>
      </c>
      <c r="J326" s="14" t="s">
        <v>26</v>
      </c>
      <c r="K326" s="17">
        <v>43531</v>
      </c>
      <c r="L326" s="17">
        <v>43576</v>
      </c>
      <c r="M326" s="18">
        <f t="shared" si="15"/>
        <v>46</v>
      </c>
      <c r="N326" s="11">
        <f t="shared" si="1"/>
        <v>46</v>
      </c>
      <c r="O326" s="15" t="s">
        <v>228</v>
      </c>
      <c r="P326" s="15" t="s">
        <v>207</v>
      </c>
    </row>
    <row r="327" spans="1:16" ht="15.75" hidden="1" customHeight="1" x14ac:dyDescent="0.2">
      <c r="A327" s="14" t="s">
        <v>227</v>
      </c>
      <c r="B327" s="14" t="s">
        <v>196</v>
      </c>
      <c r="C327" s="14" t="s">
        <v>196</v>
      </c>
      <c r="D327" s="8" t="s">
        <v>208</v>
      </c>
      <c r="E327" s="28">
        <v>273721.56</v>
      </c>
      <c r="F327" s="28">
        <v>1014423.55</v>
      </c>
      <c r="G327" s="28">
        <v>9.1711600000000004</v>
      </c>
      <c r="H327" s="28">
        <v>-83.059240000000003</v>
      </c>
      <c r="I327" s="19">
        <v>2706</v>
      </c>
      <c r="J327" s="14" t="s">
        <v>26</v>
      </c>
      <c r="K327" s="17">
        <v>43538</v>
      </c>
      <c r="L327" s="17">
        <v>43576</v>
      </c>
      <c r="M327" s="18">
        <f t="shared" si="15"/>
        <v>39</v>
      </c>
      <c r="N327" s="11">
        <f t="shared" si="1"/>
        <v>39</v>
      </c>
      <c r="O327" s="15" t="s">
        <v>228</v>
      </c>
      <c r="P327" s="15" t="s">
        <v>209</v>
      </c>
    </row>
    <row r="328" spans="1:16" ht="15.75" hidden="1" customHeight="1" x14ac:dyDescent="0.2">
      <c r="A328" s="14" t="s">
        <v>227</v>
      </c>
      <c r="B328" s="14" t="s">
        <v>196</v>
      </c>
      <c r="C328" s="14" t="s">
        <v>196</v>
      </c>
      <c r="D328" s="8" t="s">
        <v>199</v>
      </c>
      <c r="E328" s="28">
        <v>273338.88</v>
      </c>
      <c r="F328" s="28">
        <v>1016508.91</v>
      </c>
      <c r="G328" s="28">
        <v>9.1899899999999999</v>
      </c>
      <c r="H328" s="28">
        <v>-83.062830000000005</v>
      </c>
      <c r="I328" s="19">
        <v>2852</v>
      </c>
      <c r="J328" s="14" t="s">
        <v>26</v>
      </c>
      <c r="K328" s="17">
        <v>43531</v>
      </c>
      <c r="L328" s="17">
        <v>43576</v>
      </c>
      <c r="M328" s="18">
        <f t="shared" si="15"/>
        <v>46</v>
      </c>
      <c r="N328" s="11">
        <f t="shared" si="1"/>
        <v>46</v>
      </c>
      <c r="O328" s="15" t="s">
        <v>228</v>
      </c>
      <c r="P328" s="15" t="s">
        <v>200</v>
      </c>
    </row>
    <row r="329" spans="1:16" ht="15.75" hidden="1" customHeight="1" x14ac:dyDescent="0.2">
      <c r="A329" s="14" t="s">
        <v>227</v>
      </c>
      <c r="B329" s="14" t="s">
        <v>196</v>
      </c>
      <c r="C329" s="14" t="s">
        <v>196</v>
      </c>
      <c r="D329" s="8" t="s">
        <v>210</v>
      </c>
      <c r="E329" s="28">
        <v>273852.57</v>
      </c>
      <c r="F329" s="28">
        <v>1017905.44</v>
      </c>
      <c r="G329" s="28">
        <v>9.2026400000000006</v>
      </c>
      <c r="H329" s="28">
        <v>-83.058229999999995</v>
      </c>
      <c r="I329" s="19">
        <v>2969</v>
      </c>
      <c r="J329" s="14" t="s">
        <v>26</v>
      </c>
      <c r="K329" s="17">
        <v>43532</v>
      </c>
      <c r="L329" s="17">
        <v>43576</v>
      </c>
      <c r="M329" s="18">
        <f t="shared" si="15"/>
        <v>45</v>
      </c>
      <c r="N329" s="11">
        <f t="shared" si="1"/>
        <v>45</v>
      </c>
      <c r="O329" s="15" t="s">
        <v>228</v>
      </c>
      <c r="P329" s="15" t="s">
        <v>211</v>
      </c>
    </row>
    <row r="330" spans="1:16" ht="15.75" hidden="1" customHeight="1" x14ac:dyDescent="0.2">
      <c r="A330" s="14" t="s">
        <v>227</v>
      </c>
      <c r="B330" s="14" t="s">
        <v>196</v>
      </c>
      <c r="C330" s="14" t="s">
        <v>196</v>
      </c>
      <c r="D330" s="8" t="s">
        <v>201</v>
      </c>
      <c r="E330" s="28">
        <v>271915.68</v>
      </c>
      <c r="F330" s="28">
        <v>1020930.22</v>
      </c>
      <c r="G330" s="28">
        <v>9.2298799999999996</v>
      </c>
      <c r="H330" s="28">
        <v>-83.076009999999997</v>
      </c>
      <c r="I330" s="19">
        <v>2844</v>
      </c>
      <c r="J330" s="14" t="s">
        <v>26</v>
      </c>
      <c r="K330" s="17">
        <v>43532</v>
      </c>
      <c r="L330" s="17">
        <v>43576</v>
      </c>
      <c r="M330" s="18">
        <f t="shared" si="15"/>
        <v>45</v>
      </c>
      <c r="N330" s="11">
        <f t="shared" si="1"/>
        <v>45</v>
      </c>
      <c r="O330" s="15" t="s">
        <v>228</v>
      </c>
      <c r="P330" s="15" t="s">
        <v>202</v>
      </c>
    </row>
    <row r="331" spans="1:16" ht="15.75" hidden="1" customHeight="1" x14ac:dyDescent="0.2">
      <c r="A331" s="14" t="s">
        <v>227</v>
      </c>
      <c r="B331" s="14" t="s">
        <v>196</v>
      </c>
      <c r="C331" s="14" t="s">
        <v>196</v>
      </c>
      <c r="D331" s="8" t="s">
        <v>212</v>
      </c>
      <c r="E331" s="28">
        <v>272258.24</v>
      </c>
      <c r="F331" s="28">
        <v>1022756.97</v>
      </c>
      <c r="G331" s="28">
        <v>9.2464099999999991</v>
      </c>
      <c r="H331" s="28">
        <v>-83.072990000000004</v>
      </c>
      <c r="I331" s="19">
        <v>2979</v>
      </c>
      <c r="J331" s="14" t="s">
        <v>26</v>
      </c>
      <c r="K331" s="17">
        <v>43533</v>
      </c>
      <c r="L331" s="17">
        <v>43577</v>
      </c>
      <c r="M331" s="18">
        <f t="shared" si="15"/>
        <v>45</v>
      </c>
      <c r="N331" s="11">
        <f t="shared" si="1"/>
        <v>45</v>
      </c>
      <c r="O331" s="15" t="s">
        <v>228</v>
      </c>
      <c r="P331" s="15" t="s">
        <v>213</v>
      </c>
    </row>
    <row r="332" spans="1:16" ht="15.75" hidden="1" customHeight="1" x14ac:dyDescent="0.2">
      <c r="A332" s="14" t="s">
        <v>227</v>
      </c>
      <c r="B332" s="14" t="s">
        <v>196</v>
      </c>
      <c r="C332" s="14" t="s">
        <v>196</v>
      </c>
      <c r="D332" s="8" t="s">
        <v>203</v>
      </c>
      <c r="E332" s="28">
        <v>273258.36</v>
      </c>
      <c r="F332" s="28">
        <v>1023692.63</v>
      </c>
      <c r="G332" s="28">
        <v>9.2549200000000003</v>
      </c>
      <c r="H332" s="28">
        <v>-83.063940000000002</v>
      </c>
      <c r="I332" s="19">
        <v>3072</v>
      </c>
      <c r="J332" s="14" t="s">
        <v>26</v>
      </c>
      <c r="K332" s="17">
        <v>43568</v>
      </c>
      <c r="L332" s="17">
        <v>43577</v>
      </c>
      <c r="M332" s="18">
        <f t="shared" si="15"/>
        <v>10</v>
      </c>
      <c r="N332" s="11">
        <f t="shared" si="1"/>
        <v>10</v>
      </c>
      <c r="O332" s="15" t="s">
        <v>228</v>
      </c>
      <c r="P332" s="15" t="s">
        <v>204</v>
      </c>
    </row>
    <row r="333" spans="1:16" ht="15.75" hidden="1" customHeight="1" x14ac:dyDescent="0.2">
      <c r="A333" s="14" t="s">
        <v>227</v>
      </c>
      <c r="B333" s="14" t="s">
        <v>196</v>
      </c>
      <c r="C333" s="14" t="s">
        <v>196</v>
      </c>
      <c r="D333" s="8" t="s">
        <v>214</v>
      </c>
      <c r="E333" s="28">
        <v>274760.90000000002</v>
      </c>
      <c r="F333" s="28">
        <v>1024094.39</v>
      </c>
      <c r="G333" s="28">
        <v>9.2586300000000001</v>
      </c>
      <c r="H333" s="28">
        <v>-83.050290000000004</v>
      </c>
      <c r="I333" s="19">
        <v>3196</v>
      </c>
      <c r="J333" s="14" t="s">
        <v>26</v>
      </c>
      <c r="K333" s="17">
        <v>43533</v>
      </c>
      <c r="L333" s="17">
        <v>43577</v>
      </c>
      <c r="M333" s="18">
        <f t="shared" si="15"/>
        <v>45</v>
      </c>
      <c r="N333" s="11">
        <f t="shared" si="1"/>
        <v>45</v>
      </c>
      <c r="O333" s="15" t="s">
        <v>228</v>
      </c>
      <c r="P333" s="15" t="s">
        <v>215</v>
      </c>
    </row>
    <row r="334" spans="1:16" ht="15.75" hidden="1" customHeight="1" x14ac:dyDescent="0.2">
      <c r="A334" s="14" t="s">
        <v>227</v>
      </c>
      <c r="B334" s="14" t="s">
        <v>196</v>
      </c>
      <c r="C334" s="14" t="s">
        <v>196</v>
      </c>
      <c r="D334" s="15" t="s">
        <v>205</v>
      </c>
      <c r="E334" s="28">
        <v>275845.73</v>
      </c>
      <c r="F334" s="28">
        <v>1024680.03</v>
      </c>
      <c r="G334" s="28">
        <v>9.2639800000000001</v>
      </c>
      <c r="H334" s="28">
        <v>-83.040450000000007</v>
      </c>
      <c r="I334" s="19">
        <v>3322</v>
      </c>
      <c r="J334" s="14" t="s">
        <v>26</v>
      </c>
      <c r="K334" s="17">
        <v>43568</v>
      </c>
      <c r="L334" s="17">
        <v>43577</v>
      </c>
      <c r="M334" s="18">
        <f t="shared" si="15"/>
        <v>10</v>
      </c>
      <c r="N334" s="11">
        <f t="shared" si="1"/>
        <v>10</v>
      </c>
      <c r="O334" s="15" t="s">
        <v>228</v>
      </c>
      <c r="P334" s="15" t="s">
        <v>205</v>
      </c>
    </row>
    <row r="335" spans="1:16" ht="15.75" hidden="1" customHeight="1" x14ac:dyDescent="0.2">
      <c r="A335" s="7" t="s">
        <v>229</v>
      </c>
      <c r="B335" s="7" t="s">
        <v>196</v>
      </c>
      <c r="C335" s="7" t="s">
        <v>196</v>
      </c>
      <c r="D335" s="27" t="s">
        <v>197</v>
      </c>
      <c r="E335" s="9">
        <v>272827.14</v>
      </c>
      <c r="F335" s="9">
        <v>1011055.56</v>
      </c>
      <c r="G335" s="9">
        <v>9.1406700000000001</v>
      </c>
      <c r="H335" s="9">
        <v>-83.0672</v>
      </c>
      <c r="I335" s="7">
        <v>2207</v>
      </c>
      <c r="J335" s="7" t="s">
        <v>26</v>
      </c>
      <c r="K335" s="10">
        <v>43456</v>
      </c>
      <c r="L335" s="10">
        <v>43523</v>
      </c>
      <c r="M335" s="11">
        <f t="shared" si="15"/>
        <v>68</v>
      </c>
      <c r="N335" s="11">
        <f t="shared" si="1"/>
        <v>68</v>
      </c>
      <c r="O335" s="8"/>
      <c r="P335" s="8" t="s">
        <v>198</v>
      </c>
    </row>
    <row r="336" spans="1:16" ht="15.75" hidden="1" customHeight="1" x14ac:dyDescent="0.2">
      <c r="A336" s="7" t="s">
        <v>229</v>
      </c>
      <c r="B336" s="7" t="s">
        <v>196</v>
      </c>
      <c r="C336" s="7" t="s">
        <v>196</v>
      </c>
      <c r="D336" s="8" t="s">
        <v>206</v>
      </c>
      <c r="E336" s="9">
        <v>273078.33</v>
      </c>
      <c r="F336" s="9">
        <v>1013063.17</v>
      </c>
      <c r="G336" s="9">
        <v>9.15883</v>
      </c>
      <c r="H336" s="9">
        <v>-83.065020000000004</v>
      </c>
      <c r="I336" s="7">
        <v>2454</v>
      </c>
      <c r="J336" s="7" t="s">
        <v>26</v>
      </c>
      <c r="K336" s="10">
        <v>43454</v>
      </c>
      <c r="L336" s="10">
        <v>43531</v>
      </c>
      <c r="M336" s="11">
        <f t="shared" si="15"/>
        <v>78</v>
      </c>
      <c r="N336" s="11">
        <f t="shared" si="1"/>
        <v>78</v>
      </c>
      <c r="O336" s="8"/>
      <c r="P336" s="8" t="s">
        <v>207</v>
      </c>
    </row>
    <row r="337" spans="1:16" ht="15.75" hidden="1" customHeight="1" x14ac:dyDescent="0.2">
      <c r="A337" s="7" t="s">
        <v>229</v>
      </c>
      <c r="B337" s="7" t="s">
        <v>196</v>
      </c>
      <c r="C337" s="7" t="s">
        <v>196</v>
      </c>
      <c r="D337" s="8" t="s">
        <v>208</v>
      </c>
      <c r="E337" s="9">
        <v>273721.56</v>
      </c>
      <c r="F337" s="9">
        <v>1014423.55</v>
      </c>
      <c r="G337" s="9">
        <v>9.1711600000000004</v>
      </c>
      <c r="H337" s="9">
        <v>-83.059240000000003</v>
      </c>
      <c r="I337" s="7">
        <v>2706</v>
      </c>
      <c r="J337" s="7" t="s">
        <v>26</v>
      </c>
      <c r="K337" s="10">
        <v>43453</v>
      </c>
      <c r="L337" s="10">
        <v>43531</v>
      </c>
      <c r="M337" s="11">
        <f t="shared" si="15"/>
        <v>79</v>
      </c>
      <c r="N337" s="11">
        <f t="shared" si="1"/>
        <v>79</v>
      </c>
      <c r="O337" s="8"/>
      <c r="P337" s="8" t="s">
        <v>209</v>
      </c>
    </row>
    <row r="338" spans="1:16" ht="15.75" hidden="1" customHeight="1" x14ac:dyDescent="0.2">
      <c r="A338" s="7" t="s">
        <v>229</v>
      </c>
      <c r="B338" s="7" t="s">
        <v>196</v>
      </c>
      <c r="C338" s="7" t="s">
        <v>196</v>
      </c>
      <c r="D338" s="8" t="s">
        <v>199</v>
      </c>
      <c r="E338" s="9">
        <v>273338.88</v>
      </c>
      <c r="F338" s="9">
        <v>1016508.91</v>
      </c>
      <c r="G338" s="9">
        <v>9.1899899999999999</v>
      </c>
      <c r="H338" s="9">
        <v>-83.062830000000005</v>
      </c>
      <c r="I338" s="7">
        <v>2852</v>
      </c>
      <c r="J338" s="7" t="s">
        <v>26</v>
      </c>
      <c r="K338" s="10">
        <v>43454</v>
      </c>
      <c r="L338" s="10">
        <v>43531</v>
      </c>
      <c r="M338" s="11">
        <f t="shared" si="15"/>
        <v>78</v>
      </c>
      <c r="N338" s="11">
        <f t="shared" si="1"/>
        <v>78</v>
      </c>
      <c r="O338" s="8"/>
      <c r="P338" s="8" t="s">
        <v>200</v>
      </c>
    </row>
    <row r="339" spans="1:16" ht="15.75" hidden="1" customHeight="1" x14ac:dyDescent="0.2">
      <c r="A339" s="7" t="s">
        <v>229</v>
      </c>
      <c r="B339" s="7" t="s">
        <v>196</v>
      </c>
      <c r="C339" s="7" t="s">
        <v>196</v>
      </c>
      <c r="D339" s="8" t="s">
        <v>210</v>
      </c>
      <c r="E339" s="9">
        <v>273852.57</v>
      </c>
      <c r="F339" s="9">
        <v>1017905.44</v>
      </c>
      <c r="G339" s="9">
        <v>9.2026400000000006</v>
      </c>
      <c r="H339" s="9">
        <v>-83.058229999999995</v>
      </c>
      <c r="I339" s="7">
        <v>2969</v>
      </c>
      <c r="J339" s="7" t="s">
        <v>26</v>
      </c>
      <c r="K339" s="10">
        <v>43454</v>
      </c>
      <c r="L339" s="10">
        <v>43532</v>
      </c>
      <c r="M339" s="11">
        <f t="shared" si="15"/>
        <v>79</v>
      </c>
      <c r="N339" s="11">
        <f t="shared" si="1"/>
        <v>79</v>
      </c>
      <c r="O339" s="8"/>
      <c r="P339" s="8" t="s">
        <v>211</v>
      </c>
    </row>
    <row r="340" spans="1:16" ht="15.75" hidden="1" customHeight="1" x14ac:dyDescent="0.2">
      <c r="A340" s="7" t="s">
        <v>229</v>
      </c>
      <c r="B340" s="7" t="s">
        <v>196</v>
      </c>
      <c r="C340" s="7" t="s">
        <v>196</v>
      </c>
      <c r="D340" s="8" t="s">
        <v>201</v>
      </c>
      <c r="E340" s="9">
        <v>271915.68</v>
      </c>
      <c r="F340" s="9">
        <v>1020930.22</v>
      </c>
      <c r="G340" s="9">
        <v>9.2298799999999996</v>
      </c>
      <c r="H340" s="9">
        <v>-83.076009999999997</v>
      </c>
      <c r="I340" s="7">
        <v>2844</v>
      </c>
      <c r="J340" s="7" t="s">
        <v>26</v>
      </c>
      <c r="K340" s="10">
        <v>43454</v>
      </c>
      <c r="L340" s="10">
        <v>43533</v>
      </c>
      <c r="M340" s="11">
        <f t="shared" si="15"/>
        <v>80</v>
      </c>
      <c r="N340" s="11">
        <f t="shared" si="1"/>
        <v>80</v>
      </c>
      <c r="O340" s="8"/>
      <c r="P340" s="8" t="s">
        <v>202</v>
      </c>
    </row>
    <row r="341" spans="1:16" ht="15.75" hidden="1" customHeight="1" x14ac:dyDescent="0.2">
      <c r="A341" s="7" t="s">
        <v>229</v>
      </c>
      <c r="B341" s="7" t="s">
        <v>196</v>
      </c>
      <c r="C341" s="7" t="s">
        <v>196</v>
      </c>
      <c r="D341" s="8" t="s">
        <v>212</v>
      </c>
      <c r="E341" s="9">
        <v>272258.24</v>
      </c>
      <c r="F341" s="9">
        <v>1022756.97</v>
      </c>
      <c r="G341" s="9">
        <v>9.2464099999999991</v>
      </c>
      <c r="H341" s="9">
        <v>-83.072990000000004</v>
      </c>
      <c r="I341" s="7">
        <v>2979</v>
      </c>
      <c r="J341" s="7" t="s">
        <v>26</v>
      </c>
      <c r="K341" s="10">
        <v>43454</v>
      </c>
      <c r="L341" s="10">
        <v>43533</v>
      </c>
      <c r="M341" s="11">
        <f t="shared" si="15"/>
        <v>80</v>
      </c>
      <c r="N341" s="11">
        <f t="shared" si="1"/>
        <v>80</v>
      </c>
      <c r="O341" s="8"/>
      <c r="P341" s="8" t="s">
        <v>213</v>
      </c>
    </row>
    <row r="342" spans="1:16" ht="15.75" hidden="1" customHeight="1" x14ac:dyDescent="0.2">
      <c r="A342" s="7" t="s">
        <v>229</v>
      </c>
      <c r="B342" s="7" t="s">
        <v>196</v>
      </c>
      <c r="C342" s="7" t="s">
        <v>196</v>
      </c>
      <c r="D342" s="8" t="s">
        <v>203</v>
      </c>
      <c r="E342" s="9">
        <v>273258.36</v>
      </c>
      <c r="F342" s="9">
        <v>1023692.63</v>
      </c>
      <c r="G342" s="9">
        <v>9.2549200000000003</v>
      </c>
      <c r="H342" s="9">
        <v>-83.063940000000002</v>
      </c>
      <c r="I342" s="7">
        <v>3072</v>
      </c>
      <c r="J342" s="7" t="s">
        <v>26</v>
      </c>
      <c r="K342" s="10">
        <v>43454</v>
      </c>
      <c r="L342" s="10">
        <v>43518</v>
      </c>
      <c r="M342" s="11">
        <f t="shared" si="15"/>
        <v>65</v>
      </c>
      <c r="N342" s="11">
        <f t="shared" si="1"/>
        <v>65</v>
      </c>
      <c r="O342" s="8"/>
      <c r="P342" s="8" t="s">
        <v>204</v>
      </c>
    </row>
    <row r="343" spans="1:16" ht="15.75" hidden="1" customHeight="1" x14ac:dyDescent="0.2">
      <c r="A343" s="7" t="s">
        <v>229</v>
      </c>
      <c r="B343" s="7" t="s">
        <v>196</v>
      </c>
      <c r="C343" s="7" t="s">
        <v>196</v>
      </c>
      <c r="D343" s="8" t="s">
        <v>214</v>
      </c>
      <c r="E343" s="9">
        <v>274760.90000000002</v>
      </c>
      <c r="F343" s="9">
        <v>1024094.39</v>
      </c>
      <c r="G343" s="9">
        <v>9.2586300000000001</v>
      </c>
      <c r="H343" s="9">
        <v>-83.050290000000004</v>
      </c>
      <c r="I343" s="7">
        <v>3196</v>
      </c>
      <c r="J343" s="7" t="s">
        <v>26</v>
      </c>
      <c r="K343" s="10">
        <v>43454</v>
      </c>
      <c r="L343" s="10">
        <v>43533</v>
      </c>
      <c r="M343" s="11">
        <f t="shared" si="15"/>
        <v>80</v>
      </c>
      <c r="N343" s="11">
        <f t="shared" si="1"/>
        <v>80</v>
      </c>
      <c r="O343" s="8"/>
      <c r="P343" s="8" t="s">
        <v>215</v>
      </c>
    </row>
    <row r="344" spans="1:16" ht="15.75" hidden="1" customHeight="1" x14ac:dyDescent="0.2">
      <c r="A344" s="7" t="s">
        <v>230</v>
      </c>
      <c r="B344" s="7" t="s">
        <v>196</v>
      </c>
      <c r="C344" s="7" t="s">
        <v>231</v>
      </c>
      <c r="D344" s="8" t="s">
        <v>232</v>
      </c>
      <c r="E344" s="31">
        <v>273723.8</v>
      </c>
      <c r="F344" s="31">
        <v>1009422.5</v>
      </c>
      <c r="G344" s="31">
        <v>9.1259549999999994</v>
      </c>
      <c r="H344" s="31">
        <v>-83.058959000000002</v>
      </c>
      <c r="I344" s="31">
        <v>1971</v>
      </c>
      <c r="J344" s="7" t="s">
        <v>170</v>
      </c>
      <c r="K344" s="10">
        <v>43429</v>
      </c>
      <c r="L344" s="10">
        <v>43572</v>
      </c>
      <c r="M344" s="11">
        <f t="shared" si="15"/>
        <v>144</v>
      </c>
      <c r="N344" s="11">
        <f t="shared" si="1"/>
        <v>144</v>
      </c>
      <c r="O344" s="8"/>
      <c r="P344" s="8" t="s">
        <v>232</v>
      </c>
    </row>
    <row r="345" spans="1:16" ht="15.75" hidden="1" customHeight="1" x14ac:dyDescent="0.2">
      <c r="A345" s="7" t="s">
        <v>230</v>
      </c>
      <c r="B345" s="7" t="s">
        <v>196</v>
      </c>
      <c r="C345" s="7" t="s">
        <v>231</v>
      </c>
      <c r="D345" s="8" t="s">
        <v>233</v>
      </c>
      <c r="E345" s="31">
        <v>272965</v>
      </c>
      <c r="F345" s="31">
        <v>1005362.8</v>
      </c>
      <c r="G345" s="31">
        <v>9.0892199999999992</v>
      </c>
      <c r="H345" s="31">
        <v>-83.065650000000005</v>
      </c>
      <c r="I345" s="31">
        <v>1482</v>
      </c>
      <c r="J345" s="7" t="s">
        <v>170</v>
      </c>
      <c r="K345" s="10">
        <v>43508</v>
      </c>
      <c r="L345" s="10">
        <v>43571</v>
      </c>
      <c r="M345" s="11">
        <f t="shared" si="15"/>
        <v>64</v>
      </c>
      <c r="N345" s="11">
        <f t="shared" si="1"/>
        <v>64</v>
      </c>
      <c r="O345" s="8"/>
      <c r="P345" s="8" t="s">
        <v>233</v>
      </c>
    </row>
    <row r="346" spans="1:16" ht="15.75" hidden="1" customHeight="1" x14ac:dyDescent="0.2">
      <c r="A346" s="7" t="s">
        <v>230</v>
      </c>
      <c r="B346" s="7" t="s">
        <v>196</v>
      </c>
      <c r="C346" s="7" t="s">
        <v>231</v>
      </c>
      <c r="D346" s="8" t="s">
        <v>234</v>
      </c>
      <c r="E346" s="31">
        <v>270451.90000000002</v>
      </c>
      <c r="F346" s="31">
        <v>1003368</v>
      </c>
      <c r="G346" s="31">
        <v>9.071059</v>
      </c>
      <c r="H346" s="31">
        <v>-83.088399999999993</v>
      </c>
      <c r="I346" s="31">
        <v>920</v>
      </c>
      <c r="J346" s="7" t="s">
        <v>170</v>
      </c>
      <c r="K346" s="10">
        <v>43508</v>
      </c>
      <c r="L346" s="10">
        <v>43571</v>
      </c>
      <c r="M346" s="11">
        <f t="shared" si="15"/>
        <v>64</v>
      </c>
      <c r="N346" s="11">
        <f t="shared" si="1"/>
        <v>64</v>
      </c>
      <c r="O346" s="8"/>
      <c r="P346" s="8" t="s">
        <v>234</v>
      </c>
    </row>
    <row r="347" spans="1:16" ht="15.75" hidden="1" customHeight="1" x14ac:dyDescent="0.2">
      <c r="A347" s="7" t="s">
        <v>230</v>
      </c>
      <c r="B347" s="7" t="s">
        <v>196</v>
      </c>
      <c r="C347" s="7" t="s">
        <v>231</v>
      </c>
      <c r="D347" s="8" t="s">
        <v>235</v>
      </c>
      <c r="E347" s="31">
        <v>271953.90000000002</v>
      </c>
      <c r="F347" s="31">
        <v>1004170.9</v>
      </c>
      <c r="G347" s="31">
        <v>9.0783939999999994</v>
      </c>
      <c r="H347" s="31">
        <v>-83.074782999999996</v>
      </c>
      <c r="I347" s="31">
        <v>1145</v>
      </c>
      <c r="J347" s="7" t="s">
        <v>170</v>
      </c>
      <c r="K347" s="10">
        <v>43508</v>
      </c>
      <c r="L347" s="10">
        <v>43571</v>
      </c>
      <c r="M347" s="11">
        <f t="shared" si="15"/>
        <v>64</v>
      </c>
      <c r="N347" s="11">
        <f t="shared" si="1"/>
        <v>64</v>
      </c>
      <c r="O347" s="8"/>
      <c r="P347" s="8" t="s">
        <v>235</v>
      </c>
    </row>
    <row r="348" spans="1:16" ht="15.75" hidden="1" customHeight="1" x14ac:dyDescent="0.2">
      <c r="A348" s="7" t="s">
        <v>230</v>
      </c>
      <c r="B348" s="7" t="s">
        <v>196</v>
      </c>
      <c r="C348" s="7" t="s">
        <v>231</v>
      </c>
      <c r="D348" s="8" t="s">
        <v>236</v>
      </c>
      <c r="E348" s="31">
        <v>273412</v>
      </c>
      <c r="F348" s="31">
        <v>1005507</v>
      </c>
      <c r="G348" s="31">
        <v>9.0905480000000001</v>
      </c>
      <c r="H348" s="31">
        <v>-83.061588999999998</v>
      </c>
      <c r="I348" s="31">
        <v>1438</v>
      </c>
      <c r="J348" s="7" t="s">
        <v>170</v>
      </c>
      <c r="K348" s="10">
        <v>43508</v>
      </c>
      <c r="L348" s="10">
        <v>43571</v>
      </c>
      <c r="M348" s="11">
        <f t="shared" si="15"/>
        <v>64</v>
      </c>
      <c r="N348" s="11">
        <f t="shared" si="1"/>
        <v>64</v>
      </c>
      <c r="O348" s="8"/>
      <c r="P348" s="8" t="s">
        <v>236</v>
      </c>
    </row>
    <row r="349" spans="1:16" ht="15.75" hidden="1" customHeight="1" x14ac:dyDescent="0.2">
      <c r="A349" s="7" t="s">
        <v>230</v>
      </c>
      <c r="B349" s="7" t="s">
        <v>196</v>
      </c>
      <c r="C349" s="7" t="s">
        <v>231</v>
      </c>
      <c r="D349" s="8" t="s">
        <v>237</v>
      </c>
      <c r="E349" s="31">
        <v>275537</v>
      </c>
      <c r="F349" s="31">
        <v>1006725</v>
      </c>
      <c r="G349" s="31">
        <v>9.1016720000000007</v>
      </c>
      <c r="H349" s="31">
        <v>-83.042321000000001</v>
      </c>
      <c r="I349" s="31">
        <v>1675</v>
      </c>
      <c r="J349" s="7" t="s">
        <v>170</v>
      </c>
      <c r="K349" s="10">
        <v>43523</v>
      </c>
      <c r="L349" s="10">
        <v>43571</v>
      </c>
      <c r="M349" s="11">
        <f t="shared" si="15"/>
        <v>49</v>
      </c>
      <c r="N349" s="11">
        <f t="shared" si="1"/>
        <v>49</v>
      </c>
      <c r="O349" s="8"/>
      <c r="P349" s="8" t="s">
        <v>237</v>
      </c>
    </row>
    <row r="350" spans="1:16" ht="15.75" hidden="1" customHeight="1" x14ac:dyDescent="0.2">
      <c r="A350" s="7" t="s">
        <v>16</v>
      </c>
      <c r="B350" s="7" t="s">
        <v>238</v>
      </c>
      <c r="C350" s="7" t="s">
        <v>238</v>
      </c>
      <c r="D350" s="8" t="s">
        <v>239</v>
      </c>
      <c r="E350" s="9">
        <v>204728</v>
      </c>
      <c r="F350" s="9">
        <v>1082941</v>
      </c>
      <c r="G350" s="9">
        <v>9.7860849999999999</v>
      </c>
      <c r="H350" s="9">
        <v>-83.691515999999993</v>
      </c>
      <c r="I350" s="7">
        <v>747</v>
      </c>
      <c r="J350" s="7" t="s">
        <v>26</v>
      </c>
      <c r="K350" s="10">
        <v>41495</v>
      </c>
      <c r="L350" s="10">
        <v>41495</v>
      </c>
      <c r="M350" s="11">
        <f t="shared" si="15"/>
        <v>1</v>
      </c>
      <c r="N350" s="11">
        <f t="shared" si="1"/>
        <v>1</v>
      </c>
      <c r="O350" s="8"/>
      <c r="P350" s="8" t="s">
        <v>239</v>
      </c>
    </row>
    <row r="351" spans="1:16" ht="15.75" hidden="1" customHeight="1" x14ac:dyDescent="0.2">
      <c r="A351" s="7" t="s">
        <v>16</v>
      </c>
      <c r="B351" s="7" t="s">
        <v>238</v>
      </c>
      <c r="C351" s="7" t="s">
        <v>238</v>
      </c>
      <c r="D351" s="8" t="s">
        <v>240</v>
      </c>
      <c r="E351" s="9">
        <v>204728</v>
      </c>
      <c r="F351" s="9">
        <v>1082941</v>
      </c>
      <c r="G351" s="9">
        <v>9.7749670000000002</v>
      </c>
      <c r="H351" s="9">
        <v>-83.682033000000004</v>
      </c>
      <c r="I351" s="7">
        <v>747</v>
      </c>
      <c r="J351" s="7" t="s">
        <v>26</v>
      </c>
      <c r="K351" s="10">
        <v>41585</v>
      </c>
      <c r="L351" s="10">
        <v>41654</v>
      </c>
      <c r="M351" s="11">
        <f t="shared" si="15"/>
        <v>70</v>
      </c>
      <c r="N351" s="11">
        <f t="shared" si="1"/>
        <v>70</v>
      </c>
      <c r="O351" s="8"/>
      <c r="P351" s="8" t="s">
        <v>240</v>
      </c>
    </row>
    <row r="352" spans="1:16" ht="15.75" hidden="1" customHeight="1" x14ac:dyDescent="0.2">
      <c r="A352" s="7" t="s">
        <v>36</v>
      </c>
      <c r="B352" s="7" t="s">
        <v>238</v>
      </c>
      <c r="C352" s="7" t="s">
        <v>238</v>
      </c>
      <c r="D352" s="8" t="s">
        <v>241</v>
      </c>
      <c r="E352" s="9">
        <v>205720</v>
      </c>
      <c r="F352" s="9">
        <v>1080984</v>
      </c>
      <c r="G352" s="9">
        <v>9.7684669999999993</v>
      </c>
      <c r="H352" s="9">
        <v>-83.682333</v>
      </c>
      <c r="I352" s="7">
        <v>902</v>
      </c>
      <c r="J352" s="7" t="s">
        <v>26</v>
      </c>
      <c r="K352" s="10">
        <v>41487</v>
      </c>
      <c r="L352" s="10">
        <v>41646</v>
      </c>
      <c r="M352" s="11">
        <v>0</v>
      </c>
      <c r="N352" s="11">
        <f t="shared" si="1"/>
        <v>160</v>
      </c>
      <c r="O352" s="8" t="s">
        <v>242</v>
      </c>
      <c r="P352" s="8" t="s">
        <v>241</v>
      </c>
    </row>
    <row r="353" spans="1:16" ht="15.75" hidden="1" customHeight="1" x14ac:dyDescent="0.2">
      <c r="A353" s="7" t="s">
        <v>36</v>
      </c>
      <c r="B353" s="7" t="s">
        <v>238</v>
      </c>
      <c r="C353" s="7" t="s">
        <v>243</v>
      </c>
      <c r="D353" s="8" t="s">
        <v>244</v>
      </c>
      <c r="E353" s="9">
        <v>206075</v>
      </c>
      <c r="F353" s="9">
        <v>1080609</v>
      </c>
      <c r="G353" s="9">
        <v>9.7651000000000003</v>
      </c>
      <c r="H353" s="9">
        <v>-83.679083000000006</v>
      </c>
      <c r="I353" s="7">
        <v>1003</v>
      </c>
      <c r="J353" s="7" t="s">
        <v>26</v>
      </c>
      <c r="K353" s="10">
        <v>41832</v>
      </c>
      <c r="L353" s="10">
        <v>41832</v>
      </c>
      <c r="M353" s="11">
        <f t="shared" ref="M353:M356" si="16">IF(ISBLANK(K353),0,IF(ISBLANK(L353),0,L353-K353+1))</f>
        <v>1</v>
      </c>
      <c r="N353" s="11">
        <f t="shared" si="1"/>
        <v>1</v>
      </c>
      <c r="O353" s="8"/>
      <c r="P353" s="8" t="s">
        <v>244</v>
      </c>
    </row>
    <row r="354" spans="1:16" ht="15.75" hidden="1" customHeight="1" x14ac:dyDescent="0.2">
      <c r="A354" s="7" t="s">
        <v>36</v>
      </c>
      <c r="B354" s="7" t="s">
        <v>238</v>
      </c>
      <c r="C354" s="7" t="s">
        <v>238</v>
      </c>
      <c r="D354" s="8" t="s">
        <v>240</v>
      </c>
      <c r="E354" s="9">
        <v>204728</v>
      </c>
      <c r="F354" s="9">
        <v>1082941</v>
      </c>
      <c r="G354" s="9">
        <v>9.7749670000000002</v>
      </c>
      <c r="H354" s="9">
        <v>-83.682033000000004</v>
      </c>
      <c r="I354" s="7">
        <v>747</v>
      </c>
      <c r="J354" s="7" t="s">
        <v>26</v>
      </c>
      <c r="K354" s="10">
        <v>41874</v>
      </c>
      <c r="L354" s="10">
        <v>41935</v>
      </c>
      <c r="M354" s="11">
        <f t="shared" si="16"/>
        <v>62</v>
      </c>
      <c r="N354" s="11">
        <f t="shared" si="1"/>
        <v>62</v>
      </c>
      <c r="O354" s="8"/>
      <c r="P354" s="8" t="s">
        <v>240</v>
      </c>
    </row>
    <row r="355" spans="1:16" ht="15.75" hidden="1" customHeight="1" x14ac:dyDescent="0.2">
      <c r="A355" s="7" t="s">
        <v>42</v>
      </c>
      <c r="B355" s="7" t="s">
        <v>238</v>
      </c>
      <c r="C355" s="7" t="s">
        <v>238</v>
      </c>
      <c r="D355" s="8" t="s">
        <v>241</v>
      </c>
      <c r="E355" s="9">
        <v>205720</v>
      </c>
      <c r="F355" s="9">
        <v>1080984</v>
      </c>
      <c r="G355" s="9">
        <v>9.4047169999999998</v>
      </c>
      <c r="H355" s="9">
        <v>-83.504333000000003</v>
      </c>
      <c r="I355" s="7">
        <v>902</v>
      </c>
      <c r="J355" s="7" t="s">
        <v>26</v>
      </c>
      <c r="K355" s="10">
        <v>41712</v>
      </c>
      <c r="L355" s="10">
        <v>41742</v>
      </c>
      <c r="M355" s="11">
        <f t="shared" si="16"/>
        <v>31</v>
      </c>
      <c r="N355" s="11">
        <f t="shared" si="1"/>
        <v>31</v>
      </c>
      <c r="O355" s="8"/>
      <c r="P355" s="8" t="s">
        <v>241</v>
      </c>
    </row>
    <row r="356" spans="1:16" ht="15.75" hidden="1" customHeight="1" x14ac:dyDescent="0.2">
      <c r="A356" s="7" t="s">
        <v>42</v>
      </c>
      <c r="B356" s="7" t="s">
        <v>238</v>
      </c>
      <c r="C356" s="7" t="s">
        <v>245</v>
      </c>
      <c r="D356" s="8" t="s">
        <v>240</v>
      </c>
      <c r="E356" s="9">
        <v>205759</v>
      </c>
      <c r="F356" s="9">
        <v>1081704</v>
      </c>
      <c r="G356" s="9">
        <v>9.7749839999999999</v>
      </c>
      <c r="H356" s="9">
        <v>-83.682035999999997</v>
      </c>
      <c r="I356" s="7">
        <v>831</v>
      </c>
      <c r="J356" s="7" t="s">
        <v>26</v>
      </c>
      <c r="K356" s="10">
        <v>41733</v>
      </c>
      <c r="L356" s="10">
        <v>41779</v>
      </c>
      <c r="M356" s="11">
        <f t="shared" si="16"/>
        <v>47</v>
      </c>
      <c r="N356" s="11">
        <f t="shared" si="1"/>
        <v>47</v>
      </c>
      <c r="O356" s="8"/>
      <c r="P356" s="8" t="s">
        <v>240</v>
      </c>
    </row>
    <row r="357" spans="1:16" ht="15.75" hidden="1" customHeight="1" x14ac:dyDescent="0.2">
      <c r="A357" s="7" t="s">
        <v>42</v>
      </c>
      <c r="B357" s="7" t="s">
        <v>238</v>
      </c>
      <c r="C357" s="7" t="s">
        <v>246</v>
      </c>
      <c r="D357" s="8" t="s">
        <v>240</v>
      </c>
      <c r="E357" s="9">
        <v>205590</v>
      </c>
      <c r="F357" s="9">
        <v>1081949</v>
      </c>
      <c r="G357" s="9">
        <v>9.7771849999999993</v>
      </c>
      <c r="H357" s="9">
        <v>-83.683593000000002</v>
      </c>
      <c r="I357" s="7">
        <v>821</v>
      </c>
      <c r="J357" s="7" t="s">
        <v>26</v>
      </c>
      <c r="K357" s="10">
        <v>40912</v>
      </c>
      <c r="L357" s="10">
        <v>40958</v>
      </c>
      <c r="M357" s="11">
        <v>0</v>
      </c>
      <c r="N357" s="11">
        <f t="shared" si="1"/>
        <v>47</v>
      </c>
      <c r="O357" s="8" t="s">
        <v>247</v>
      </c>
      <c r="P357" s="8" t="s">
        <v>248</v>
      </c>
    </row>
    <row r="358" spans="1:16" ht="15.75" hidden="1" customHeight="1" x14ac:dyDescent="0.2">
      <c r="A358" s="7" t="s">
        <v>47</v>
      </c>
      <c r="B358" s="7" t="s">
        <v>238</v>
      </c>
      <c r="C358" s="7" t="s">
        <v>238</v>
      </c>
      <c r="D358" s="8" t="s">
        <v>241</v>
      </c>
      <c r="E358" s="9">
        <v>205720</v>
      </c>
      <c r="F358" s="9">
        <v>1080984</v>
      </c>
      <c r="G358" s="9">
        <v>9.7684669999999993</v>
      </c>
      <c r="H358" s="9">
        <v>-83.682333</v>
      </c>
      <c r="I358" s="7">
        <v>902</v>
      </c>
      <c r="J358" s="7" t="s">
        <v>26</v>
      </c>
      <c r="K358" s="10">
        <v>42013</v>
      </c>
      <c r="L358" s="10">
        <v>42120</v>
      </c>
      <c r="M358" s="11">
        <f t="shared" ref="M358:M361" si="17">IF(ISBLANK(K358),0,IF(ISBLANK(L358),0,L358-K358+1))</f>
        <v>108</v>
      </c>
      <c r="N358" s="11">
        <f t="shared" si="1"/>
        <v>108</v>
      </c>
      <c r="O358" s="8"/>
      <c r="P358" s="8" t="s">
        <v>241</v>
      </c>
    </row>
    <row r="359" spans="1:16" ht="15.75" hidden="1" customHeight="1" x14ac:dyDescent="0.2">
      <c r="A359" s="7" t="s">
        <v>47</v>
      </c>
      <c r="B359" s="7" t="s">
        <v>238</v>
      </c>
      <c r="C359" s="7" t="s">
        <v>238</v>
      </c>
      <c r="D359" s="8" t="s">
        <v>240</v>
      </c>
      <c r="E359" s="9">
        <v>204728</v>
      </c>
      <c r="F359" s="9">
        <v>1082941</v>
      </c>
      <c r="G359" s="9">
        <v>9.7749670000000002</v>
      </c>
      <c r="H359" s="9">
        <v>-83.682033000000004</v>
      </c>
      <c r="I359" s="7">
        <v>747</v>
      </c>
      <c r="J359" s="7" t="s">
        <v>26</v>
      </c>
      <c r="K359" s="10">
        <v>42013</v>
      </c>
      <c r="L359" s="10">
        <v>42013</v>
      </c>
      <c r="M359" s="11">
        <f t="shared" si="17"/>
        <v>1</v>
      </c>
      <c r="N359" s="11">
        <f t="shared" si="1"/>
        <v>1</v>
      </c>
      <c r="O359" s="8"/>
      <c r="P359" s="8" t="s">
        <v>240</v>
      </c>
    </row>
    <row r="360" spans="1:16" ht="15.75" hidden="1" customHeight="1" x14ac:dyDescent="0.2">
      <c r="A360" s="7" t="s">
        <v>47</v>
      </c>
      <c r="B360" s="7" t="s">
        <v>238</v>
      </c>
      <c r="C360" s="7" t="s">
        <v>238</v>
      </c>
      <c r="D360" s="8" t="s">
        <v>249</v>
      </c>
      <c r="E360" s="9" t="s">
        <v>37</v>
      </c>
      <c r="F360" s="9" t="s">
        <v>37</v>
      </c>
      <c r="G360" s="9"/>
      <c r="H360" s="9"/>
      <c r="I360" s="7" t="s">
        <v>37</v>
      </c>
      <c r="J360" s="7" t="s">
        <v>26</v>
      </c>
      <c r="K360" s="10">
        <v>41946</v>
      </c>
      <c r="L360" s="10">
        <v>42124</v>
      </c>
      <c r="M360" s="11">
        <f t="shared" si="17"/>
        <v>179</v>
      </c>
      <c r="N360" s="11">
        <f t="shared" si="1"/>
        <v>179</v>
      </c>
      <c r="O360" s="8" t="s">
        <v>250</v>
      </c>
      <c r="P360" s="8" t="s">
        <v>249</v>
      </c>
    </row>
    <row r="361" spans="1:16" ht="15.75" hidden="1" customHeight="1" x14ac:dyDescent="0.2">
      <c r="A361" s="7" t="s">
        <v>193</v>
      </c>
      <c r="B361" s="7" t="s">
        <v>238</v>
      </c>
      <c r="C361" s="7" t="s">
        <v>238</v>
      </c>
      <c r="D361" s="8" t="s">
        <v>241</v>
      </c>
      <c r="E361" s="9">
        <v>205721</v>
      </c>
      <c r="F361" s="9">
        <v>1080985</v>
      </c>
      <c r="G361" s="9">
        <v>9.7684669999999993</v>
      </c>
      <c r="H361" s="9">
        <v>-83.682333</v>
      </c>
      <c r="I361" s="7">
        <v>902</v>
      </c>
      <c r="J361" s="7" t="s">
        <v>26</v>
      </c>
      <c r="K361" s="10">
        <v>41475</v>
      </c>
      <c r="L361" s="10">
        <v>41485</v>
      </c>
      <c r="M361" s="11">
        <f t="shared" si="17"/>
        <v>11</v>
      </c>
      <c r="N361" s="11">
        <f t="shared" si="1"/>
        <v>11</v>
      </c>
      <c r="O361" s="8"/>
      <c r="P361" s="8" t="s">
        <v>241</v>
      </c>
    </row>
    <row r="362" spans="1:16" ht="15.75" hidden="1" customHeight="1" x14ac:dyDescent="0.2">
      <c r="A362" s="7" t="s">
        <v>182</v>
      </c>
      <c r="B362" s="7" t="s">
        <v>238</v>
      </c>
      <c r="C362" s="7" t="s">
        <v>238</v>
      </c>
      <c r="D362" s="8" t="s">
        <v>241</v>
      </c>
      <c r="E362" s="9">
        <v>205720</v>
      </c>
      <c r="F362" s="9">
        <v>1080984</v>
      </c>
      <c r="G362" s="9">
        <v>9.7684759999999997</v>
      </c>
      <c r="H362" s="9">
        <v>-83.682338999999999</v>
      </c>
      <c r="I362" s="7">
        <v>902</v>
      </c>
      <c r="J362" s="7" t="s">
        <v>26</v>
      </c>
      <c r="K362" s="10">
        <v>41832</v>
      </c>
      <c r="L362" s="10">
        <v>41832</v>
      </c>
      <c r="M362" s="11">
        <v>0</v>
      </c>
      <c r="N362" s="11">
        <f t="shared" si="1"/>
        <v>1</v>
      </c>
      <c r="O362" s="8" t="s">
        <v>251</v>
      </c>
      <c r="P362" s="8" t="s">
        <v>241</v>
      </c>
    </row>
    <row r="363" spans="1:16" ht="15.75" hidden="1" customHeight="1" x14ac:dyDescent="0.2">
      <c r="A363" s="7" t="s">
        <v>182</v>
      </c>
      <c r="B363" s="7" t="s">
        <v>238</v>
      </c>
      <c r="C363" s="7" t="s">
        <v>238</v>
      </c>
      <c r="D363" s="8" t="s">
        <v>244</v>
      </c>
      <c r="E363" s="9">
        <v>206075</v>
      </c>
      <c r="F363" s="9">
        <v>1080609</v>
      </c>
      <c r="G363" s="9">
        <v>9.7651129999999995</v>
      </c>
      <c r="H363" s="9">
        <v>-83.679078000000004</v>
      </c>
      <c r="I363" s="7">
        <v>1003</v>
      </c>
      <c r="J363" s="7" t="s">
        <v>26</v>
      </c>
      <c r="K363" s="10">
        <v>41816</v>
      </c>
      <c r="L363" s="10">
        <v>41816</v>
      </c>
      <c r="M363" s="11">
        <f t="shared" ref="M363:M395" si="18">IF(ISBLANK(K363),0,IF(ISBLANK(L363),0,L363-K363+1))</f>
        <v>1</v>
      </c>
      <c r="N363" s="11">
        <f t="shared" si="1"/>
        <v>1</v>
      </c>
      <c r="O363" s="8"/>
      <c r="P363" s="8" t="s">
        <v>244</v>
      </c>
    </row>
    <row r="364" spans="1:16" ht="15.75" hidden="1" customHeight="1" x14ac:dyDescent="0.2">
      <c r="A364" s="7" t="s">
        <v>36</v>
      </c>
      <c r="B364" s="7" t="s">
        <v>238</v>
      </c>
      <c r="C364" s="7" t="s">
        <v>238</v>
      </c>
      <c r="D364" s="7" t="s">
        <v>241</v>
      </c>
      <c r="E364" s="7">
        <v>205720</v>
      </c>
      <c r="F364" s="7">
        <v>1080984</v>
      </c>
      <c r="G364" s="7">
        <v>9.7684765220000003</v>
      </c>
      <c r="H364" s="7">
        <v>-83.682338790000003</v>
      </c>
      <c r="I364" s="7">
        <v>902</v>
      </c>
      <c r="J364" s="7" t="s">
        <v>26</v>
      </c>
      <c r="K364" s="10">
        <v>41816</v>
      </c>
      <c r="L364" s="10">
        <v>42013</v>
      </c>
      <c r="M364" s="11">
        <f t="shared" si="18"/>
        <v>198</v>
      </c>
      <c r="N364" s="11">
        <f t="shared" si="1"/>
        <v>198</v>
      </c>
      <c r="O364" s="8" t="s">
        <v>62</v>
      </c>
      <c r="P364" s="7" t="s">
        <v>241</v>
      </c>
    </row>
    <row r="365" spans="1:16" ht="15.75" hidden="1" customHeight="1" x14ac:dyDescent="0.2">
      <c r="A365" s="7" t="s">
        <v>58</v>
      </c>
      <c r="B365" s="7" t="s">
        <v>238</v>
      </c>
      <c r="C365" s="7" t="s">
        <v>238</v>
      </c>
      <c r="D365" s="8" t="s">
        <v>241</v>
      </c>
      <c r="E365" s="7">
        <v>205720</v>
      </c>
      <c r="F365" s="7">
        <v>1080984</v>
      </c>
      <c r="G365" s="7">
        <v>9.7684765220000003</v>
      </c>
      <c r="H365" s="7">
        <v>-83.682338790000003</v>
      </c>
      <c r="I365" s="7">
        <v>902</v>
      </c>
      <c r="J365" s="7" t="s">
        <v>26</v>
      </c>
      <c r="K365" s="10">
        <v>42164</v>
      </c>
      <c r="L365" s="10">
        <v>42379</v>
      </c>
      <c r="M365" s="11">
        <f t="shared" si="18"/>
        <v>216</v>
      </c>
      <c r="N365" s="11">
        <f t="shared" si="1"/>
        <v>216</v>
      </c>
      <c r="O365" s="8" t="s">
        <v>62</v>
      </c>
      <c r="P365" s="8" t="s">
        <v>241</v>
      </c>
    </row>
    <row r="366" spans="1:16" ht="15.75" hidden="1" customHeight="1" x14ac:dyDescent="0.2">
      <c r="A366" s="7" t="s">
        <v>58</v>
      </c>
      <c r="B366" s="7" t="s">
        <v>238</v>
      </c>
      <c r="C366" s="7" t="s">
        <v>238</v>
      </c>
      <c r="D366" s="7" t="s">
        <v>244</v>
      </c>
      <c r="E366" s="9">
        <v>206075</v>
      </c>
      <c r="F366" s="9">
        <v>1080609</v>
      </c>
      <c r="G366" s="9">
        <v>9.7651129999999995</v>
      </c>
      <c r="H366" s="9">
        <v>-83.679078000000004</v>
      </c>
      <c r="I366" s="7">
        <v>1003</v>
      </c>
      <c r="J366" s="7" t="s">
        <v>26</v>
      </c>
      <c r="K366" s="10">
        <v>42226</v>
      </c>
      <c r="L366" s="10">
        <v>42385</v>
      </c>
      <c r="M366" s="11">
        <f t="shared" si="18"/>
        <v>160</v>
      </c>
      <c r="N366" s="11">
        <f t="shared" si="1"/>
        <v>160</v>
      </c>
      <c r="O366" s="8" t="s">
        <v>62</v>
      </c>
      <c r="P366" s="7" t="s">
        <v>244</v>
      </c>
    </row>
    <row r="367" spans="1:16" ht="15.75" hidden="1" customHeight="1" x14ac:dyDescent="0.2">
      <c r="A367" s="7" t="s">
        <v>16</v>
      </c>
      <c r="B367" s="7" t="s">
        <v>238</v>
      </c>
      <c r="C367" s="7" t="s">
        <v>245</v>
      </c>
      <c r="D367" s="7" t="s">
        <v>240</v>
      </c>
      <c r="E367" s="7">
        <v>204728</v>
      </c>
      <c r="F367" s="7">
        <v>1082941</v>
      </c>
      <c r="G367" s="7">
        <v>9.7860859760000007</v>
      </c>
      <c r="H367" s="7">
        <v>-83.691516210000003</v>
      </c>
      <c r="I367" s="7">
        <v>747</v>
      </c>
      <c r="J367" s="7" t="s">
        <v>26</v>
      </c>
      <c r="K367" s="10">
        <v>41595</v>
      </c>
      <c r="L367" s="10">
        <v>41654</v>
      </c>
      <c r="M367" s="11">
        <f t="shared" si="18"/>
        <v>60</v>
      </c>
      <c r="N367" s="11">
        <f t="shared" si="1"/>
        <v>60</v>
      </c>
      <c r="O367" s="8" t="s">
        <v>62</v>
      </c>
      <c r="P367" s="7" t="s">
        <v>240</v>
      </c>
    </row>
    <row r="368" spans="1:16" ht="15.75" hidden="1" customHeight="1" x14ac:dyDescent="0.2">
      <c r="A368" s="7" t="s">
        <v>16</v>
      </c>
      <c r="B368" s="7" t="s">
        <v>238</v>
      </c>
      <c r="C368" s="7" t="s">
        <v>245</v>
      </c>
      <c r="D368" s="7" t="s">
        <v>240</v>
      </c>
      <c r="E368" s="7">
        <v>205759</v>
      </c>
      <c r="F368" s="7">
        <v>1081704</v>
      </c>
      <c r="G368" s="7">
        <v>9.7749843250000001</v>
      </c>
      <c r="H368" s="7">
        <v>-83.682035709999994</v>
      </c>
      <c r="I368" s="7">
        <v>747</v>
      </c>
      <c r="J368" s="7" t="s">
        <v>26</v>
      </c>
      <c r="K368" s="10">
        <v>41477</v>
      </c>
      <c r="L368" s="10">
        <v>41481</v>
      </c>
      <c r="M368" s="11">
        <f t="shared" si="18"/>
        <v>5</v>
      </c>
      <c r="N368" s="11">
        <f t="shared" si="1"/>
        <v>5</v>
      </c>
      <c r="O368" s="8" t="s">
        <v>62</v>
      </c>
      <c r="P368" s="7" t="s">
        <v>240</v>
      </c>
    </row>
    <row r="369" spans="1:16" ht="15.75" hidden="1" customHeight="1" x14ac:dyDescent="0.2">
      <c r="A369" s="7" t="s">
        <v>133</v>
      </c>
      <c r="B369" s="7" t="s">
        <v>238</v>
      </c>
      <c r="C369" s="7" t="s">
        <v>245</v>
      </c>
      <c r="D369" s="7" t="s">
        <v>240</v>
      </c>
      <c r="E369" s="7">
        <v>204728</v>
      </c>
      <c r="F369" s="7">
        <v>1082941</v>
      </c>
      <c r="G369" s="7">
        <v>9.7749670000000002</v>
      </c>
      <c r="H369" s="7">
        <v>-83.682033000000004</v>
      </c>
      <c r="I369" s="7">
        <v>747</v>
      </c>
      <c r="J369" s="7" t="s">
        <v>26</v>
      </c>
      <c r="K369" s="10">
        <v>42144</v>
      </c>
      <c r="L369" s="10">
        <v>42186</v>
      </c>
      <c r="M369" s="11">
        <f t="shared" si="18"/>
        <v>43</v>
      </c>
      <c r="N369" s="11">
        <f t="shared" si="1"/>
        <v>43</v>
      </c>
      <c r="O369" s="8" t="s">
        <v>62</v>
      </c>
      <c r="P369" s="7" t="s">
        <v>240</v>
      </c>
    </row>
    <row r="370" spans="1:16" ht="15.75" hidden="1" customHeight="1" x14ac:dyDescent="0.2">
      <c r="A370" s="7" t="s">
        <v>58</v>
      </c>
      <c r="B370" s="7" t="s">
        <v>238</v>
      </c>
      <c r="C370" s="7" t="s">
        <v>245</v>
      </c>
      <c r="D370" s="7" t="s">
        <v>240</v>
      </c>
      <c r="E370" s="7">
        <v>204728</v>
      </c>
      <c r="F370" s="7">
        <v>1082941</v>
      </c>
      <c r="G370" s="7">
        <v>9.7749670000000002</v>
      </c>
      <c r="H370" s="7">
        <v>-83.682033000000004</v>
      </c>
      <c r="I370" s="7">
        <v>747</v>
      </c>
      <c r="J370" s="7" t="s">
        <v>26</v>
      </c>
      <c r="K370" s="10">
        <v>42276</v>
      </c>
      <c r="L370" s="10">
        <v>42345</v>
      </c>
      <c r="M370" s="11">
        <f t="shared" si="18"/>
        <v>70</v>
      </c>
      <c r="N370" s="11">
        <f t="shared" si="1"/>
        <v>70</v>
      </c>
      <c r="O370" s="8" t="s">
        <v>62</v>
      </c>
      <c r="P370" s="7" t="s">
        <v>240</v>
      </c>
    </row>
    <row r="371" spans="1:16" ht="15.75" hidden="1" customHeight="1" x14ac:dyDescent="0.2">
      <c r="A371" s="7" t="s">
        <v>58</v>
      </c>
      <c r="B371" s="7" t="s">
        <v>238</v>
      </c>
      <c r="C371" s="7" t="s">
        <v>238</v>
      </c>
      <c r="D371" s="7" t="s">
        <v>249</v>
      </c>
      <c r="E371" s="7">
        <v>0</v>
      </c>
      <c r="F371" s="7">
        <v>0</v>
      </c>
      <c r="G371" s="7">
        <v>9.7678609999999999</v>
      </c>
      <c r="H371" s="7">
        <v>-83.683443999999994</v>
      </c>
      <c r="I371" s="7" t="s">
        <v>252</v>
      </c>
      <c r="J371" s="7" t="s">
        <v>26</v>
      </c>
      <c r="K371" s="10">
        <v>42156</v>
      </c>
      <c r="L371" s="10">
        <v>42341</v>
      </c>
      <c r="M371" s="11">
        <f t="shared" si="18"/>
        <v>186</v>
      </c>
      <c r="N371" s="11">
        <f t="shared" si="1"/>
        <v>186</v>
      </c>
      <c r="O371" s="8" t="s">
        <v>62</v>
      </c>
      <c r="P371" s="7" t="s">
        <v>249</v>
      </c>
    </row>
    <row r="372" spans="1:16" ht="15.75" hidden="1" customHeight="1" x14ac:dyDescent="0.2">
      <c r="A372" s="7" t="s">
        <v>128</v>
      </c>
      <c r="B372" s="7" t="s">
        <v>253</v>
      </c>
      <c r="C372" s="7" t="s">
        <v>254</v>
      </c>
      <c r="D372" s="8" t="s">
        <v>255</v>
      </c>
      <c r="E372" s="9">
        <v>200353</v>
      </c>
      <c r="F372" s="9">
        <v>956087</v>
      </c>
      <c r="G372" s="9">
        <v>8.6396789999999992</v>
      </c>
      <c r="H372" s="9">
        <v>-83.722564000000006</v>
      </c>
      <c r="I372" s="7">
        <v>109</v>
      </c>
      <c r="J372" s="7" t="s">
        <v>26</v>
      </c>
      <c r="K372" s="7"/>
      <c r="L372" s="7"/>
      <c r="M372" s="11">
        <f t="shared" si="18"/>
        <v>0</v>
      </c>
      <c r="N372" s="11">
        <f t="shared" si="1"/>
        <v>0</v>
      </c>
      <c r="O372" s="8"/>
      <c r="P372" s="8" t="s">
        <v>256</v>
      </c>
    </row>
    <row r="373" spans="1:16" ht="15.75" hidden="1" customHeight="1" x14ac:dyDescent="0.2">
      <c r="A373" s="7" t="s">
        <v>128</v>
      </c>
      <c r="B373" s="7" t="s">
        <v>253</v>
      </c>
      <c r="C373" s="7" t="s">
        <v>254</v>
      </c>
      <c r="D373" s="8" t="s">
        <v>257</v>
      </c>
      <c r="E373" s="9">
        <v>200299</v>
      </c>
      <c r="F373" s="9">
        <v>955772</v>
      </c>
      <c r="G373" s="9">
        <v>8.6368349999999996</v>
      </c>
      <c r="H373" s="9">
        <v>-83.723037000000005</v>
      </c>
      <c r="I373" s="7">
        <v>131</v>
      </c>
      <c r="J373" s="7" t="s">
        <v>26</v>
      </c>
      <c r="K373" s="7"/>
      <c r="L373" s="7"/>
      <c r="M373" s="11">
        <f t="shared" si="18"/>
        <v>0</v>
      </c>
      <c r="N373" s="11">
        <f t="shared" si="1"/>
        <v>0</v>
      </c>
      <c r="O373" s="8"/>
      <c r="P373" s="8" t="s">
        <v>258</v>
      </c>
    </row>
    <row r="374" spans="1:16" ht="15.75" hidden="1" customHeight="1" x14ac:dyDescent="0.2">
      <c r="A374" s="7" t="s">
        <v>128</v>
      </c>
      <c r="B374" s="7" t="s">
        <v>253</v>
      </c>
      <c r="C374" s="7" t="s">
        <v>259</v>
      </c>
      <c r="D374" s="8" t="s">
        <v>260</v>
      </c>
      <c r="E374" s="9">
        <v>199736</v>
      </c>
      <c r="F374" s="9">
        <v>956220</v>
      </c>
      <c r="G374" s="9">
        <v>8.6408450000000006</v>
      </c>
      <c r="H374" s="9">
        <v>-83.728176000000005</v>
      </c>
      <c r="I374" s="7">
        <v>62</v>
      </c>
      <c r="J374" s="7" t="s">
        <v>26</v>
      </c>
      <c r="K374" s="7"/>
      <c r="L374" s="7"/>
      <c r="M374" s="11">
        <f t="shared" si="18"/>
        <v>0</v>
      </c>
      <c r="N374" s="11">
        <f t="shared" si="1"/>
        <v>0</v>
      </c>
      <c r="O374" s="8"/>
      <c r="P374" s="8" t="s">
        <v>261</v>
      </c>
    </row>
    <row r="375" spans="1:16" ht="15.75" hidden="1" customHeight="1" x14ac:dyDescent="0.2">
      <c r="A375" s="7" t="s">
        <v>128</v>
      </c>
      <c r="B375" s="7" t="s">
        <v>253</v>
      </c>
      <c r="C375" s="7" t="s">
        <v>259</v>
      </c>
      <c r="D375" s="8" t="s">
        <v>262</v>
      </c>
      <c r="E375" s="9">
        <v>199882</v>
      </c>
      <c r="F375" s="9">
        <v>955991</v>
      </c>
      <c r="G375" s="9">
        <v>8.6387889999999992</v>
      </c>
      <c r="H375" s="9">
        <v>-83.726840999999993</v>
      </c>
      <c r="I375" s="7">
        <v>86</v>
      </c>
      <c r="J375" s="7" t="s">
        <v>26</v>
      </c>
      <c r="K375" s="7"/>
      <c r="L375" s="7"/>
      <c r="M375" s="11">
        <f t="shared" si="18"/>
        <v>0</v>
      </c>
      <c r="N375" s="11">
        <f t="shared" si="1"/>
        <v>0</v>
      </c>
      <c r="O375" s="8"/>
      <c r="P375" s="8" t="s">
        <v>263</v>
      </c>
    </row>
    <row r="376" spans="1:16" ht="15.75" hidden="1" customHeight="1" x14ac:dyDescent="0.2">
      <c r="A376" s="7" t="s">
        <v>128</v>
      </c>
      <c r="B376" s="7" t="s">
        <v>253</v>
      </c>
      <c r="C376" s="7" t="s">
        <v>259</v>
      </c>
      <c r="D376" s="8" t="s">
        <v>264</v>
      </c>
      <c r="E376" s="9">
        <v>200046</v>
      </c>
      <c r="F376" s="9">
        <v>955806</v>
      </c>
      <c r="G376" s="9">
        <v>8.6371280000000006</v>
      </c>
      <c r="H376" s="9">
        <v>-83.725335999999999</v>
      </c>
      <c r="I376" s="7">
        <v>115</v>
      </c>
      <c r="J376" s="7" t="s">
        <v>26</v>
      </c>
      <c r="K376" s="7"/>
      <c r="L376" s="7"/>
      <c r="M376" s="11">
        <f t="shared" si="18"/>
        <v>0</v>
      </c>
      <c r="N376" s="11">
        <f t="shared" si="1"/>
        <v>0</v>
      </c>
      <c r="O376" s="8"/>
      <c r="P376" s="8" t="s">
        <v>265</v>
      </c>
    </row>
    <row r="377" spans="1:16" ht="15.75" hidden="1" customHeight="1" x14ac:dyDescent="0.2">
      <c r="A377" s="7" t="s">
        <v>128</v>
      </c>
      <c r="B377" s="7" t="s">
        <v>253</v>
      </c>
      <c r="C377" s="7" t="s">
        <v>266</v>
      </c>
      <c r="D377" s="8" t="s">
        <v>267</v>
      </c>
      <c r="E377" s="9">
        <v>200417</v>
      </c>
      <c r="F377" s="9">
        <v>955547</v>
      </c>
      <c r="G377" s="9">
        <v>8.6348040000000008</v>
      </c>
      <c r="H377" s="9">
        <v>-83.721953999999997</v>
      </c>
      <c r="I377" s="7">
        <v>156</v>
      </c>
      <c r="J377" s="7" t="s">
        <v>26</v>
      </c>
      <c r="K377" s="7"/>
      <c r="L377" s="7"/>
      <c r="M377" s="11">
        <f t="shared" si="18"/>
        <v>0</v>
      </c>
      <c r="N377" s="11">
        <f t="shared" si="1"/>
        <v>0</v>
      </c>
      <c r="O377" s="8"/>
      <c r="P377" s="8" t="s">
        <v>268</v>
      </c>
    </row>
    <row r="378" spans="1:16" ht="15.75" hidden="1" customHeight="1" x14ac:dyDescent="0.2">
      <c r="A378" s="7" t="s">
        <v>128</v>
      </c>
      <c r="B378" s="7" t="s">
        <v>253</v>
      </c>
      <c r="C378" s="7" t="s">
        <v>269</v>
      </c>
      <c r="D378" s="8" t="s">
        <v>270</v>
      </c>
      <c r="E378" s="9">
        <v>200563</v>
      </c>
      <c r="F378" s="9">
        <v>955748</v>
      </c>
      <c r="G378" s="9">
        <v>8.6366309999999995</v>
      </c>
      <c r="H378" s="9">
        <v>-83.720641999999998</v>
      </c>
      <c r="I378" s="7">
        <v>158</v>
      </c>
      <c r="J378" s="7" t="s">
        <v>26</v>
      </c>
      <c r="K378" s="7"/>
      <c r="L378" s="7"/>
      <c r="M378" s="11">
        <f t="shared" si="18"/>
        <v>0</v>
      </c>
      <c r="N378" s="11">
        <f t="shared" si="1"/>
        <v>0</v>
      </c>
      <c r="O378" s="8"/>
      <c r="P378" s="8" t="s">
        <v>271</v>
      </c>
    </row>
    <row r="379" spans="1:16" ht="15.75" hidden="1" customHeight="1" x14ac:dyDescent="0.2">
      <c r="A379" s="7" t="s">
        <v>128</v>
      </c>
      <c r="B379" s="7" t="s">
        <v>253</v>
      </c>
      <c r="C379" s="7" t="s">
        <v>269</v>
      </c>
      <c r="D379" s="8" t="s">
        <v>272</v>
      </c>
      <c r="E379" s="9">
        <v>200914</v>
      </c>
      <c r="F379" s="9">
        <v>955899</v>
      </c>
      <c r="G379" s="9">
        <v>8.6380199999999991</v>
      </c>
      <c r="H379" s="9">
        <v>-83.717461999999998</v>
      </c>
      <c r="I379" s="7">
        <v>149</v>
      </c>
      <c r="J379" s="7" t="s">
        <v>26</v>
      </c>
      <c r="K379" s="7"/>
      <c r="L379" s="7"/>
      <c r="M379" s="11">
        <f t="shared" si="18"/>
        <v>0</v>
      </c>
      <c r="N379" s="11">
        <f t="shared" si="1"/>
        <v>0</v>
      </c>
      <c r="O379" s="8"/>
      <c r="P379" s="8" t="s">
        <v>273</v>
      </c>
    </row>
    <row r="380" spans="1:16" ht="15.75" hidden="1" customHeight="1" x14ac:dyDescent="0.2">
      <c r="A380" s="7" t="s">
        <v>131</v>
      </c>
      <c r="B380" s="7" t="s">
        <v>253</v>
      </c>
      <c r="C380" s="7" t="s">
        <v>269</v>
      </c>
      <c r="D380" s="8" t="s">
        <v>272</v>
      </c>
      <c r="E380" s="9">
        <v>200914</v>
      </c>
      <c r="F380" s="9">
        <v>955899</v>
      </c>
      <c r="G380" s="9">
        <v>8.6380199999999991</v>
      </c>
      <c r="H380" s="9">
        <v>-83.717461999999998</v>
      </c>
      <c r="I380" s="7">
        <v>149</v>
      </c>
      <c r="J380" s="7" t="s">
        <v>26</v>
      </c>
      <c r="K380" s="10">
        <v>42741</v>
      </c>
      <c r="L380" s="10">
        <v>42816</v>
      </c>
      <c r="M380" s="11">
        <f t="shared" si="18"/>
        <v>76</v>
      </c>
      <c r="N380" s="11">
        <f t="shared" si="1"/>
        <v>76</v>
      </c>
      <c r="O380" s="8" t="s">
        <v>274</v>
      </c>
      <c r="P380" s="8" t="s">
        <v>273</v>
      </c>
    </row>
    <row r="381" spans="1:16" ht="15.75" hidden="1" customHeight="1" x14ac:dyDescent="0.2">
      <c r="A381" s="7" t="s">
        <v>131</v>
      </c>
      <c r="B381" s="7" t="s">
        <v>253</v>
      </c>
      <c r="C381" s="7" t="s">
        <v>254</v>
      </c>
      <c r="D381" s="8" t="s">
        <v>255</v>
      </c>
      <c r="E381" s="9">
        <v>200353</v>
      </c>
      <c r="F381" s="9">
        <v>956087</v>
      </c>
      <c r="G381" s="9">
        <v>8.6396789999999992</v>
      </c>
      <c r="H381" s="9">
        <v>-83.722564000000006</v>
      </c>
      <c r="I381" s="7">
        <v>109</v>
      </c>
      <c r="J381" s="7" t="s">
        <v>26</v>
      </c>
      <c r="K381" s="10">
        <v>42744</v>
      </c>
      <c r="L381" s="10">
        <v>42851</v>
      </c>
      <c r="M381" s="11">
        <f t="shared" si="18"/>
        <v>108</v>
      </c>
      <c r="N381" s="11">
        <f t="shared" si="1"/>
        <v>108</v>
      </c>
      <c r="O381" s="8"/>
      <c r="P381" s="8" t="s">
        <v>256</v>
      </c>
    </row>
    <row r="382" spans="1:16" ht="15.75" hidden="1" customHeight="1" x14ac:dyDescent="0.2">
      <c r="A382" s="7" t="s">
        <v>131</v>
      </c>
      <c r="B382" s="7" t="s">
        <v>253</v>
      </c>
      <c r="C382" s="7" t="s">
        <v>254</v>
      </c>
      <c r="D382" s="8" t="s">
        <v>257</v>
      </c>
      <c r="E382" s="9">
        <v>200299</v>
      </c>
      <c r="F382" s="9">
        <v>955772</v>
      </c>
      <c r="G382" s="9">
        <v>8.6368349999999996</v>
      </c>
      <c r="H382" s="9">
        <v>-83.723037000000005</v>
      </c>
      <c r="I382" s="7">
        <v>131</v>
      </c>
      <c r="J382" s="7" t="s">
        <v>26</v>
      </c>
      <c r="K382" s="10">
        <v>42744</v>
      </c>
      <c r="L382" s="10">
        <v>42851</v>
      </c>
      <c r="M382" s="11">
        <f t="shared" si="18"/>
        <v>108</v>
      </c>
      <c r="N382" s="11">
        <f t="shared" si="1"/>
        <v>108</v>
      </c>
      <c r="O382" s="8" t="s">
        <v>275</v>
      </c>
      <c r="P382" s="8" t="s">
        <v>258</v>
      </c>
    </row>
    <row r="383" spans="1:16" ht="15.75" hidden="1" customHeight="1" x14ac:dyDescent="0.2">
      <c r="A383" s="7" t="s">
        <v>131</v>
      </c>
      <c r="B383" s="7" t="s">
        <v>253</v>
      </c>
      <c r="C383" s="7" t="s">
        <v>259</v>
      </c>
      <c r="D383" s="8" t="s">
        <v>260</v>
      </c>
      <c r="E383" s="9">
        <v>199736</v>
      </c>
      <c r="F383" s="9">
        <v>956220</v>
      </c>
      <c r="G383" s="9">
        <v>8.6408450000000006</v>
      </c>
      <c r="H383" s="9">
        <v>-83.728176000000005</v>
      </c>
      <c r="I383" s="7">
        <v>62</v>
      </c>
      <c r="J383" s="7" t="s">
        <v>26</v>
      </c>
      <c r="K383" s="7"/>
      <c r="L383" s="7"/>
      <c r="M383" s="11">
        <f t="shared" si="18"/>
        <v>0</v>
      </c>
      <c r="N383" s="11">
        <f t="shared" si="1"/>
        <v>0</v>
      </c>
      <c r="O383" s="8"/>
      <c r="P383" s="8" t="s">
        <v>261</v>
      </c>
    </row>
    <row r="384" spans="1:16" ht="15.75" hidden="1" customHeight="1" x14ac:dyDescent="0.2">
      <c r="A384" s="7" t="s">
        <v>131</v>
      </c>
      <c r="B384" s="7" t="s">
        <v>253</v>
      </c>
      <c r="C384" s="7" t="s">
        <v>259</v>
      </c>
      <c r="D384" s="8" t="s">
        <v>262</v>
      </c>
      <c r="E384" s="9">
        <v>199882</v>
      </c>
      <c r="F384" s="9">
        <v>955991</v>
      </c>
      <c r="G384" s="9">
        <v>8.6387889999999992</v>
      </c>
      <c r="H384" s="9">
        <v>-83.726840999999993</v>
      </c>
      <c r="I384" s="7">
        <v>86</v>
      </c>
      <c r="J384" s="7" t="s">
        <v>26</v>
      </c>
      <c r="K384" s="10">
        <v>42737</v>
      </c>
      <c r="L384" s="10">
        <v>42791</v>
      </c>
      <c r="M384" s="11">
        <f t="shared" si="18"/>
        <v>55</v>
      </c>
      <c r="N384" s="11">
        <f t="shared" si="1"/>
        <v>55</v>
      </c>
      <c r="O384" s="8"/>
      <c r="P384" s="8" t="s">
        <v>263</v>
      </c>
    </row>
    <row r="385" spans="1:16" ht="15.75" hidden="1" customHeight="1" x14ac:dyDescent="0.2">
      <c r="A385" s="7" t="s">
        <v>131</v>
      </c>
      <c r="B385" s="7" t="s">
        <v>253</v>
      </c>
      <c r="C385" s="7" t="s">
        <v>259</v>
      </c>
      <c r="D385" s="8" t="s">
        <v>264</v>
      </c>
      <c r="E385" s="9">
        <v>200046</v>
      </c>
      <c r="F385" s="9">
        <v>955806</v>
      </c>
      <c r="G385" s="9">
        <v>8.6371280000000006</v>
      </c>
      <c r="H385" s="9">
        <v>-83.725335999999999</v>
      </c>
      <c r="I385" s="7">
        <v>115</v>
      </c>
      <c r="J385" s="7" t="s">
        <v>26</v>
      </c>
      <c r="K385" s="10">
        <v>42790</v>
      </c>
      <c r="L385" s="10">
        <v>42817</v>
      </c>
      <c r="M385" s="11">
        <f t="shared" si="18"/>
        <v>28</v>
      </c>
      <c r="N385" s="11">
        <f t="shared" si="1"/>
        <v>28</v>
      </c>
      <c r="O385" s="8"/>
      <c r="P385" s="8" t="s">
        <v>265</v>
      </c>
    </row>
    <row r="386" spans="1:16" ht="15.75" hidden="1" customHeight="1" x14ac:dyDescent="0.2">
      <c r="A386" s="7" t="s">
        <v>131</v>
      </c>
      <c r="B386" s="7" t="s">
        <v>253</v>
      </c>
      <c r="C386" s="7" t="s">
        <v>266</v>
      </c>
      <c r="D386" s="8" t="s">
        <v>267</v>
      </c>
      <c r="E386" s="9">
        <v>200417</v>
      </c>
      <c r="F386" s="9">
        <v>955547</v>
      </c>
      <c r="G386" s="9">
        <v>8.6348040000000008</v>
      </c>
      <c r="H386" s="9">
        <v>-83.721953999999997</v>
      </c>
      <c r="I386" s="7">
        <v>156</v>
      </c>
      <c r="J386" s="7" t="s">
        <v>26</v>
      </c>
      <c r="K386" s="10">
        <v>42762</v>
      </c>
      <c r="L386" s="10">
        <v>42828</v>
      </c>
      <c r="M386" s="11">
        <f t="shared" si="18"/>
        <v>67</v>
      </c>
      <c r="N386" s="11">
        <f t="shared" si="1"/>
        <v>67</v>
      </c>
      <c r="O386" s="8"/>
      <c r="P386" s="8" t="s">
        <v>268</v>
      </c>
    </row>
    <row r="387" spans="1:16" ht="15.75" hidden="1" customHeight="1" x14ac:dyDescent="0.2">
      <c r="A387" s="7" t="s">
        <v>131</v>
      </c>
      <c r="B387" s="7" t="s">
        <v>253</v>
      </c>
      <c r="C387" s="7" t="s">
        <v>269</v>
      </c>
      <c r="D387" s="8" t="s">
        <v>270</v>
      </c>
      <c r="E387" s="9">
        <v>200563</v>
      </c>
      <c r="F387" s="9">
        <v>955748</v>
      </c>
      <c r="G387" s="9">
        <v>8.6366309999999995</v>
      </c>
      <c r="H387" s="9">
        <v>-83.720641999999998</v>
      </c>
      <c r="I387" s="7">
        <v>158</v>
      </c>
      <c r="J387" s="7" t="s">
        <v>26</v>
      </c>
      <c r="K387" s="10">
        <v>42747</v>
      </c>
      <c r="L387" s="10">
        <v>42852</v>
      </c>
      <c r="M387" s="11">
        <f t="shared" si="18"/>
        <v>106</v>
      </c>
      <c r="N387" s="11">
        <f t="shared" si="1"/>
        <v>106</v>
      </c>
      <c r="O387" s="8"/>
      <c r="P387" s="8" t="s">
        <v>271</v>
      </c>
    </row>
    <row r="388" spans="1:16" ht="15.75" hidden="1" customHeight="1" x14ac:dyDescent="0.2">
      <c r="A388" s="7" t="s">
        <v>132</v>
      </c>
      <c r="B388" s="7" t="s">
        <v>253</v>
      </c>
      <c r="C388" s="7" t="s">
        <v>254</v>
      </c>
      <c r="D388" s="8" t="s">
        <v>255</v>
      </c>
      <c r="E388" s="9">
        <v>200353</v>
      </c>
      <c r="F388" s="9">
        <v>956087</v>
      </c>
      <c r="G388" s="9">
        <v>8.6396789999999992</v>
      </c>
      <c r="H388" s="9">
        <v>-83.722564000000006</v>
      </c>
      <c r="I388" s="7">
        <v>109</v>
      </c>
      <c r="J388" s="7" t="s">
        <v>26</v>
      </c>
      <c r="K388" s="7"/>
      <c r="L388" s="7"/>
      <c r="M388" s="11">
        <f t="shared" si="18"/>
        <v>0</v>
      </c>
      <c r="N388" s="11">
        <f t="shared" si="1"/>
        <v>0</v>
      </c>
      <c r="O388" s="8"/>
      <c r="P388" s="8" t="s">
        <v>256</v>
      </c>
    </row>
    <row r="389" spans="1:16" ht="15.75" hidden="1" customHeight="1" x14ac:dyDescent="0.2">
      <c r="A389" s="7" t="s">
        <v>132</v>
      </c>
      <c r="B389" s="7" t="s">
        <v>253</v>
      </c>
      <c r="C389" s="7" t="s">
        <v>254</v>
      </c>
      <c r="D389" s="8" t="s">
        <v>257</v>
      </c>
      <c r="E389" s="9">
        <v>200299</v>
      </c>
      <c r="F389" s="9">
        <v>955772</v>
      </c>
      <c r="G389" s="9">
        <v>8.6368349999999996</v>
      </c>
      <c r="H389" s="9">
        <v>-83.723037000000005</v>
      </c>
      <c r="I389" s="7">
        <v>131</v>
      </c>
      <c r="J389" s="7" t="s">
        <v>26</v>
      </c>
      <c r="K389" s="7"/>
      <c r="L389" s="7"/>
      <c r="M389" s="11">
        <f t="shared" si="18"/>
        <v>0</v>
      </c>
      <c r="N389" s="11">
        <f t="shared" si="1"/>
        <v>0</v>
      </c>
      <c r="O389" s="8"/>
      <c r="P389" s="8" t="s">
        <v>258</v>
      </c>
    </row>
    <row r="390" spans="1:16" ht="15.75" hidden="1" customHeight="1" x14ac:dyDescent="0.2">
      <c r="A390" s="7" t="s">
        <v>132</v>
      </c>
      <c r="B390" s="7" t="s">
        <v>253</v>
      </c>
      <c r="C390" s="7" t="s">
        <v>259</v>
      </c>
      <c r="D390" s="8" t="s">
        <v>260</v>
      </c>
      <c r="E390" s="9">
        <v>199736</v>
      </c>
      <c r="F390" s="9">
        <v>956220</v>
      </c>
      <c r="G390" s="9">
        <v>8.6408450000000006</v>
      </c>
      <c r="H390" s="9">
        <v>-83.728176000000005</v>
      </c>
      <c r="I390" s="7">
        <v>62</v>
      </c>
      <c r="J390" s="7" t="s">
        <v>26</v>
      </c>
      <c r="K390" s="7"/>
      <c r="L390" s="7"/>
      <c r="M390" s="11">
        <f t="shared" si="18"/>
        <v>0</v>
      </c>
      <c r="N390" s="11">
        <f t="shared" si="1"/>
        <v>0</v>
      </c>
      <c r="O390" s="8"/>
      <c r="P390" s="8" t="s">
        <v>261</v>
      </c>
    </row>
    <row r="391" spans="1:16" ht="15.75" hidden="1" customHeight="1" x14ac:dyDescent="0.2">
      <c r="A391" s="7" t="s">
        <v>132</v>
      </c>
      <c r="B391" s="7" t="s">
        <v>253</v>
      </c>
      <c r="C391" s="7" t="s">
        <v>259</v>
      </c>
      <c r="D391" s="8" t="s">
        <v>262</v>
      </c>
      <c r="E391" s="9">
        <v>199882</v>
      </c>
      <c r="F391" s="9">
        <v>955991</v>
      </c>
      <c r="G391" s="9">
        <v>8.6387889999999992</v>
      </c>
      <c r="H391" s="9">
        <v>-83.726840999999993</v>
      </c>
      <c r="I391" s="7">
        <v>86</v>
      </c>
      <c r="J391" s="7" t="s">
        <v>26</v>
      </c>
      <c r="K391" s="7"/>
      <c r="L391" s="7"/>
      <c r="M391" s="11">
        <f t="shared" si="18"/>
        <v>0</v>
      </c>
      <c r="N391" s="11">
        <f t="shared" si="1"/>
        <v>0</v>
      </c>
      <c r="O391" s="8"/>
      <c r="P391" s="8" t="s">
        <v>263</v>
      </c>
    </row>
    <row r="392" spans="1:16" ht="15.75" hidden="1" customHeight="1" x14ac:dyDescent="0.2">
      <c r="A392" s="7" t="s">
        <v>132</v>
      </c>
      <c r="B392" s="7" t="s">
        <v>253</v>
      </c>
      <c r="C392" s="7" t="s">
        <v>259</v>
      </c>
      <c r="D392" s="8" t="s">
        <v>264</v>
      </c>
      <c r="E392" s="9">
        <v>200046</v>
      </c>
      <c r="F392" s="9">
        <v>955806</v>
      </c>
      <c r="G392" s="9">
        <v>8.6371280000000006</v>
      </c>
      <c r="H392" s="9">
        <v>-83.725335999999999</v>
      </c>
      <c r="I392" s="7">
        <v>115</v>
      </c>
      <c r="J392" s="7" t="s">
        <v>26</v>
      </c>
      <c r="K392" s="7"/>
      <c r="L392" s="7"/>
      <c r="M392" s="11">
        <f t="shared" si="18"/>
        <v>0</v>
      </c>
      <c r="N392" s="11">
        <f t="shared" si="1"/>
        <v>0</v>
      </c>
      <c r="O392" s="8"/>
      <c r="P392" s="8" t="s">
        <v>265</v>
      </c>
    </row>
    <row r="393" spans="1:16" ht="15.75" hidden="1" customHeight="1" x14ac:dyDescent="0.2">
      <c r="A393" s="7" t="s">
        <v>132</v>
      </c>
      <c r="B393" s="7" t="s">
        <v>253</v>
      </c>
      <c r="C393" s="7" t="s">
        <v>266</v>
      </c>
      <c r="D393" s="8" t="s">
        <v>267</v>
      </c>
      <c r="E393" s="9">
        <v>200417</v>
      </c>
      <c r="F393" s="9">
        <v>955547</v>
      </c>
      <c r="G393" s="9">
        <v>8.6348040000000008</v>
      </c>
      <c r="H393" s="9">
        <v>-83.721953999999997</v>
      </c>
      <c r="I393" s="7">
        <v>156</v>
      </c>
      <c r="J393" s="7" t="s">
        <v>26</v>
      </c>
      <c r="K393" s="7"/>
      <c r="L393" s="7"/>
      <c r="M393" s="11">
        <f t="shared" si="18"/>
        <v>0</v>
      </c>
      <c r="N393" s="11">
        <f t="shared" si="1"/>
        <v>0</v>
      </c>
      <c r="O393" s="8"/>
      <c r="P393" s="8" t="s">
        <v>268</v>
      </c>
    </row>
    <row r="394" spans="1:16" ht="15.75" hidden="1" customHeight="1" x14ac:dyDescent="0.2">
      <c r="A394" s="7" t="s">
        <v>132</v>
      </c>
      <c r="B394" s="7" t="s">
        <v>253</v>
      </c>
      <c r="C394" s="7" t="s">
        <v>269</v>
      </c>
      <c r="D394" s="8" t="s">
        <v>270</v>
      </c>
      <c r="E394" s="9">
        <v>200563</v>
      </c>
      <c r="F394" s="9">
        <v>955748</v>
      </c>
      <c r="G394" s="9">
        <v>8.6366309999999995</v>
      </c>
      <c r="H394" s="9">
        <v>-83.720641999999998</v>
      </c>
      <c r="I394" s="7">
        <v>158</v>
      </c>
      <c r="J394" s="7" t="s">
        <v>26</v>
      </c>
      <c r="K394" s="7"/>
      <c r="L394" s="7"/>
      <c r="M394" s="11">
        <f t="shared" si="18"/>
        <v>0</v>
      </c>
      <c r="N394" s="11">
        <f t="shared" si="1"/>
        <v>0</v>
      </c>
      <c r="O394" s="8"/>
      <c r="P394" s="8" t="s">
        <v>271</v>
      </c>
    </row>
    <row r="395" spans="1:16" ht="15.75" hidden="1" customHeight="1" x14ac:dyDescent="0.2">
      <c r="A395" s="7" t="s">
        <v>132</v>
      </c>
      <c r="B395" s="7" t="s">
        <v>253</v>
      </c>
      <c r="C395" s="7" t="s">
        <v>269</v>
      </c>
      <c r="D395" s="8" t="s">
        <v>272</v>
      </c>
      <c r="E395" s="9">
        <v>200914</v>
      </c>
      <c r="F395" s="9">
        <v>955899</v>
      </c>
      <c r="G395" s="9">
        <v>8.6380199999999991</v>
      </c>
      <c r="H395" s="9">
        <v>-83.717461999999998</v>
      </c>
      <c r="I395" s="7">
        <v>149</v>
      </c>
      <c r="J395" s="7" t="s">
        <v>26</v>
      </c>
      <c r="K395" s="7"/>
      <c r="L395" s="7"/>
      <c r="M395" s="11">
        <f t="shared" si="18"/>
        <v>0</v>
      </c>
      <c r="N395" s="11">
        <f t="shared" si="1"/>
        <v>0</v>
      </c>
      <c r="O395" s="8"/>
      <c r="P395" s="8" t="s">
        <v>273</v>
      </c>
    </row>
    <row r="396" spans="1:16" ht="15.75" hidden="1" customHeight="1" x14ac:dyDescent="0.2">
      <c r="A396" s="7" t="s">
        <v>134</v>
      </c>
      <c r="B396" s="7" t="s">
        <v>253</v>
      </c>
      <c r="C396" s="7" t="s">
        <v>254</v>
      </c>
      <c r="D396" s="8" t="s">
        <v>257</v>
      </c>
      <c r="E396" s="9">
        <v>200299</v>
      </c>
      <c r="F396" s="9">
        <v>955772</v>
      </c>
      <c r="G396" s="9">
        <v>8.6368349999999996</v>
      </c>
      <c r="H396" s="9">
        <v>-83.723037000000005</v>
      </c>
      <c r="I396" s="7">
        <v>131</v>
      </c>
      <c r="J396" s="7" t="s">
        <v>26</v>
      </c>
      <c r="K396" s="10">
        <v>42393</v>
      </c>
      <c r="L396" s="10">
        <v>42667</v>
      </c>
      <c r="M396" s="11">
        <v>102</v>
      </c>
      <c r="N396" s="11">
        <f t="shared" si="1"/>
        <v>275</v>
      </c>
      <c r="O396" s="8" t="s">
        <v>276</v>
      </c>
      <c r="P396" s="8" t="s">
        <v>258</v>
      </c>
    </row>
    <row r="397" spans="1:16" ht="15.75" hidden="1" customHeight="1" x14ac:dyDescent="0.2">
      <c r="A397" s="7" t="s">
        <v>134</v>
      </c>
      <c r="B397" s="7" t="s">
        <v>253</v>
      </c>
      <c r="C397" s="7" t="s">
        <v>254</v>
      </c>
      <c r="D397" s="8" t="s">
        <v>255</v>
      </c>
      <c r="E397" s="9">
        <v>200353</v>
      </c>
      <c r="F397" s="9">
        <v>956087</v>
      </c>
      <c r="G397" s="9">
        <v>8.6396789999999992</v>
      </c>
      <c r="H397" s="9">
        <v>-83.722564000000006</v>
      </c>
      <c r="I397" s="7">
        <v>109</v>
      </c>
      <c r="J397" s="7" t="s">
        <v>26</v>
      </c>
      <c r="K397" s="10">
        <v>42567</v>
      </c>
      <c r="L397" s="10">
        <v>42665</v>
      </c>
      <c r="M397" s="11">
        <f t="shared" ref="M397:M451" si="19">IF(ISBLANK(K397),0,IF(ISBLANK(L397),0,L397-K397+1))</f>
        <v>99</v>
      </c>
      <c r="N397" s="11">
        <f t="shared" si="1"/>
        <v>99</v>
      </c>
      <c r="O397" s="8"/>
      <c r="P397" s="8" t="s">
        <v>256</v>
      </c>
    </row>
    <row r="398" spans="1:16" ht="15.75" hidden="1" customHeight="1" x14ac:dyDescent="0.2">
      <c r="A398" s="7" t="s">
        <v>134</v>
      </c>
      <c r="B398" s="7" t="s">
        <v>253</v>
      </c>
      <c r="C398" s="7" t="s">
        <v>259</v>
      </c>
      <c r="D398" s="8" t="s">
        <v>260</v>
      </c>
      <c r="E398" s="9">
        <v>199736</v>
      </c>
      <c r="F398" s="9">
        <v>956220</v>
      </c>
      <c r="G398" s="9">
        <v>8.6408450000000006</v>
      </c>
      <c r="H398" s="9">
        <v>-83.728176000000005</v>
      </c>
      <c r="I398" s="7">
        <v>62</v>
      </c>
      <c r="J398" s="7" t="s">
        <v>26</v>
      </c>
      <c r="K398" s="10">
        <v>42568</v>
      </c>
      <c r="L398" s="10">
        <v>42590</v>
      </c>
      <c r="M398" s="11">
        <f t="shared" si="19"/>
        <v>23</v>
      </c>
      <c r="N398" s="11">
        <f t="shared" si="1"/>
        <v>23</v>
      </c>
      <c r="O398" s="8" t="s">
        <v>277</v>
      </c>
      <c r="P398" s="8" t="s">
        <v>261</v>
      </c>
    </row>
    <row r="399" spans="1:16" ht="15.75" hidden="1" customHeight="1" x14ac:dyDescent="0.2">
      <c r="A399" s="7" t="s">
        <v>134</v>
      </c>
      <c r="B399" s="7" t="s">
        <v>253</v>
      </c>
      <c r="C399" s="7" t="s">
        <v>259</v>
      </c>
      <c r="D399" s="8" t="s">
        <v>262</v>
      </c>
      <c r="E399" s="9">
        <v>199882</v>
      </c>
      <c r="F399" s="9">
        <v>955991</v>
      </c>
      <c r="G399" s="9">
        <v>8.6387889999999992</v>
      </c>
      <c r="H399" s="9">
        <v>-83.726840999999993</v>
      </c>
      <c r="I399" s="7">
        <v>86</v>
      </c>
      <c r="J399" s="7" t="s">
        <v>26</v>
      </c>
      <c r="K399" s="10">
        <v>42568</v>
      </c>
      <c r="L399" s="10">
        <v>42667</v>
      </c>
      <c r="M399" s="11">
        <f t="shared" si="19"/>
        <v>100</v>
      </c>
      <c r="N399" s="11">
        <f t="shared" si="1"/>
        <v>100</v>
      </c>
      <c r="O399" s="8"/>
      <c r="P399" s="8" t="s">
        <v>263</v>
      </c>
    </row>
    <row r="400" spans="1:16" ht="15.75" hidden="1" customHeight="1" x14ac:dyDescent="0.2">
      <c r="A400" s="7" t="s">
        <v>134</v>
      </c>
      <c r="B400" s="7" t="s">
        <v>253</v>
      </c>
      <c r="C400" s="7" t="s">
        <v>259</v>
      </c>
      <c r="D400" s="8" t="s">
        <v>264</v>
      </c>
      <c r="E400" s="9">
        <v>200046</v>
      </c>
      <c r="F400" s="9">
        <v>955806</v>
      </c>
      <c r="G400" s="9">
        <v>8.6371280000000006</v>
      </c>
      <c r="H400" s="9">
        <v>-83.725335999999999</v>
      </c>
      <c r="I400" s="7">
        <v>115</v>
      </c>
      <c r="J400" s="7" t="s">
        <v>26</v>
      </c>
      <c r="K400" s="10">
        <v>42568</v>
      </c>
      <c r="L400" s="10">
        <v>42667</v>
      </c>
      <c r="M400" s="11">
        <f t="shared" si="19"/>
        <v>100</v>
      </c>
      <c r="N400" s="11">
        <f t="shared" si="1"/>
        <v>100</v>
      </c>
      <c r="O400" s="8"/>
      <c r="P400" s="8" t="s">
        <v>265</v>
      </c>
    </row>
    <row r="401" spans="1:16" ht="15.75" hidden="1" customHeight="1" x14ac:dyDescent="0.2">
      <c r="A401" s="7" t="s">
        <v>134</v>
      </c>
      <c r="B401" s="7" t="s">
        <v>253</v>
      </c>
      <c r="C401" s="7" t="s">
        <v>266</v>
      </c>
      <c r="D401" s="8" t="s">
        <v>267</v>
      </c>
      <c r="E401" s="9">
        <v>200417</v>
      </c>
      <c r="F401" s="9">
        <v>955547</v>
      </c>
      <c r="G401" s="9">
        <v>8.6348040000000008</v>
      </c>
      <c r="H401" s="9">
        <v>-83.721953999999997</v>
      </c>
      <c r="I401" s="7">
        <v>156</v>
      </c>
      <c r="J401" s="7" t="s">
        <v>26</v>
      </c>
      <c r="K401" s="10">
        <v>42574</v>
      </c>
      <c r="L401" s="10">
        <v>42597</v>
      </c>
      <c r="M401" s="11">
        <f t="shared" si="19"/>
        <v>24</v>
      </c>
      <c r="N401" s="11">
        <f t="shared" si="1"/>
        <v>24</v>
      </c>
      <c r="O401" s="8"/>
      <c r="P401" s="8" t="s">
        <v>268</v>
      </c>
    </row>
    <row r="402" spans="1:16" ht="15.75" hidden="1" customHeight="1" x14ac:dyDescent="0.2">
      <c r="A402" s="7" t="s">
        <v>134</v>
      </c>
      <c r="B402" s="7" t="s">
        <v>253</v>
      </c>
      <c r="C402" s="7" t="s">
        <v>269</v>
      </c>
      <c r="D402" s="8" t="s">
        <v>270</v>
      </c>
      <c r="E402" s="9">
        <v>200563</v>
      </c>
      <c r="F402" s="9">
        <v>955748</v>
      </c>
      <c r="G402" s="9">
        <v>8.6366309999999995</v>
      </c>
      <c r="H402" s="9">
        <v>-83.720641999999998</v>
      </c>
      <c r="I402" s="7">
        <v>158</v>
      </c>
      <c r="J402" s="7" t="s">
        <v>26</v>
      </c>
      <c r="K402" s="10">
        <v>42568</v>
      </c>
      <c r="L402" s="10">
        <v>42638</v>
      </c>
      <c r="M402" s="11">
        <f t="shared" si="19"/>
        <v>71</v>
      </c>
      <c r="N402" s="11">
        <f t="shared" si="1"/>
        <v>71</v>
      </c>
      <c r="O402" s="8"/>
      <c r="P402" s="8" t="s">
        <v>271</v>
      </c>
    </row>
    <row r="403" spans="1:16" ht="15.75" hidden="1" customHeight="1" x14ac:dyDescent="0.2">
      <c r="A403" s="7" t="s">
        <v>134</v>
      </c>
      <c r="B403" s="7" t="s">
        <v>253</v>
      </c>
      <c r="C403" s="7" t="s">
        <v>269</v>
      </c>
      <c r="D403" s="8" t="s">
        <v>272</v>
      </c>
      <c r="E403" s="9">
        <v>200914</v>
      </c>
      <c r="F403" s="9">
        <v>955899</v>
      </c>
      <c r="G403" s="9">
        <v>8.6380199999999991</v>
      </c>
      <c r="H403" s="9">
        <v>-83.717461999999998</v>
      </c>
      <c r="I403" s="7">
        <v>149</v>
      </c>
      <c r="J403" s="7" t="s">
        <v>26</v>
      </c>
      <c r="K403" s="10">
        <v>42568</v>
      </c>
      <c r="L403" s="10">
        <v>42638</v>
      </c>
      <c r="M403" s="11">
        <f t="shared" si="19"/>
        <v>71</v>
      </c>
      <c r="N403" s="11">
        <f t="shared" si="1"/>
        <v>71</v>
      </c>
      <c r="O403" s="8"/>
      <c r="P403" s="8" t="s">
        <v>273</v>
      </c>
    </row>
    <row r="404" spans="1:16" ht="15.75" hidden="1" customHeight="1" x14ac:dyDescent="0.2">
      <c r="A404" s="7" t="s">
        <v>186</v>
      </c>
      <c r="B404" s="7" t="s">
        <v>253</v>
      </c>
      <c r="C404" s="7" t="s">
        <v>259</v>
      </c>
      <c r="D404" s="8" t="s">
        <v>262</v>
      </c>
      <c r="E404" s="9">
        <v>199882</v>
      </c>
      <c r="F404" s="9">
        <v>955991</v>
      </c>
      <c r="G404" s="9">
        <v>8.6387889999999992</v>
      </c>
      <c r="H404" s="9">
        <v>-83.726840999999993</v>
      </c>
      <c r="I404" s="7">
        <v>86</v>
      </c>
      <c r="J404" s="7" t="s">
        <v>26</v>
      </c>
      <c r="K404" s="10">
        <v>42863</v>
      </c>
      <c r="L404" s="10">
        <v>42965</v>
      </c>
      <c r="M404" s="11">
        <f t="shared" si="19"/>
        <v>103</v>
      </c>
      <c r="N404" s="11">
        <f t="shared" si="1"/>
        <v>103</v>
      </c>
      <c r="O404" s="8" t="s">
        <v>278</v>
      </c>
      <c r="P404" s="8" t="s">
        <v>263</v>
      </c>
    </row>
    <row r="405" spans="1:16" ht="15.75" hidden="1" customHeight="1" x14ac:dyDescent="0.2">
      <c r="A405" s="7" t="s">
        <v>186</v>
      </c>
      <c r="B405" s="7" t="s">
        <v>253</v>
      </c>
      <c r="C405" s="7" t="s">
        <v>254</v>
      </c>
      <c r="D405" s="8" t="s">
        <v>255</v>
      </c>
      <c r="E405" s="9">
        <v>200353</v>
      </c>
      <c r="F405" s="9">
        <v>956087</v>
      </c>
      <c r="G405" s="9">
        <v>8.6396789999999992</v>
      </c>
      <c r="H405" s="9">
        <v>-83.722564000000006</v>
      </c>
      <c r="I405" s="7">
        <v>109</v>
      </c>
      <c r="J405" s="7" t="s">
        <v>26</v>
      </c>
      <c r="K405" s="10">
        <v>42858</v>
      </c>
      <c r="L405" s="10">
        <v>42970</v>
      </c>
      <c r="M405" s="11">
        <f t="shared" si="19"/>
        <v>113</v>
      </c>
      <c r="N405" s="11">
        <f t="shared" si="1"/>
        <v>113</v>
      </c>
      <c r="O405" s="8"/>
      <c r="P405" s="8" t="s">
        <v>256</v>
      </c>
    </row>
    <row r="406" spans="1:16" ht="15.75" hidden="1" customHeight="1" x14ac:dyDescent="0.2">
      <c r="A406" s="7" t="s">
        <v>186</v>
      </c>
      <c r="B406" s="7" t="s">
        <v>253</v>
      </c>
      <c r="C406" s="7" t="s">
        <v>254</v>
      </c>
      <c r="D406" s="8" t="s">
        <v>257</v>
      </c>
      <c r="E406" s="9">
        <v>200299</v>
      </c>
      <c r="F406" s="9">
        <v>955772</v>
      </c>
      <c r="G406" s="9">
        <v>8.6368349999999996</v>
      </c>
      <c r="H406" s="9">
        <v>-83.723037000000005</v>
      </c>
      <c r="I406" s="7">
        <v>131</v>
      </c>
      <c r="J406" s="7" t="s">
        <v>26</v>
      </c>
      <c r="K406" s="7"/>
      <c r="L406" s="7"/>
      <c r="M406" s="11">
        <f t="shared" si="19"/>
        <v>0</v>
      </c>
      <c r="N406" s="11">
        <f t="shared" si="1"/>
        <v>0</v>
      </c>
      <c r="O406" s="8"/>
      <c r="P406" s="8" t="s">
        <v>258</v>
      </c>
    </row>
    <row r="407" spans="1:16" ht="15.75" hidden="1" customHeight="1" x14ac:dyDescent="0.2">
      <c r="A407" s="7" t="s">
        <v>186</v>
      </c>
      <c r="B407" s="7" t="s">
        <v>253</v>
      </c>
      <c r="C407" s="7" t="s">
        <v>259</v>
      </c>
      <c r="D407" s="8" t="s">
        <v>260</v>
      </c>
      <c r="E407" s="9">
        <v>199736</v>
      </c>
      <c r="F407" s="9">
        <v>956220</v>
      </c>
      <c r="G407" s="9">
        <v>8.6408450000000006</v>
      </c>
      <c r="H407" s="9">
        <v>-83.728176000000005</v>
      </c>
      <c r="I407" s="7">
        <v>62</v>
      </c>
      <c r="J407" s="7" t="s">
        <v>26</v>
      </c>
      <c r="K407" s="10">
        <v>42883</v>
      </c>
      <c r="L407" s="10">
        <v>42938</v>
      </c>
      <c r="M407" s="11">
        <f t="shared" si="19"/>
        <v>56</v>
      </c>
      <c r="N407" s="11">
        <f t="shared" si="1"/>
        <v>56</v>
      </c>
      <c r="O407" s="8"/>
      <c r="P407" s="8" t="s">
        <v>261</v>
      </c>
    </row>
    <row r="408" spans="1:16" ht="15.75" hidden="1" customHeight="1" x14ac:dyDescent="0.2">
      <c r="A408" s="7" t="s">
        <v>186</v>
      </c>
      <c r="B408" s="7" t="s">
        <v>253</v>
      </c>
      <c r="C408" s="7" t="s">
        <v>259</v>
      </c>
      <c r="D408" s="8" t="s">
        <v>264</v>
      </c>
      <c r="E408" s="9">
        <v>200046</v>
      </c>
      <c r="F408" s="9">
        <v>955806</v>
      </c>
      <c r="G408" s="9">
        <v>8.6371280000000006</v>
      </c>
      <c r="H408" s="9">
        <v>-83.725335999999999</v>
      </c>
      <c r="I408" s="7">
        <v>115</v>
      </c>
      <c r="J408" s="7" t="s">
        <v>26</v>
      </c>
      <c r="K408" s="10">
        <v>42868</v>
      </c>
      <c r="L408" s="10">
        <v>42974</v>
      </c>
      <c r="M408" s="11">
        <f t="shared" si="19"/>
        <v>107</v>
      </c>
      <c r="N408" s="11">
        <f t="shared" si="1"/>
        <v>107</v>
      </c>
      <c r="O408" s="8" t="s">
        <v>279</v>
      </c>
      <c r="P408" s="8" t="s">
        <v>265</v>
      </c>
    </row>
    <row r="409" spans="1:16" ht="15.75" hidden="1" customHeight="1" x14ac:dyDescent="0.2">
      <c r="A409" s="7" t="s">
        <v>186</v>
      </c>
      <c r="B409" s="7" t="s">
        <v>253</v>
      </c>
      <c r="C409" s="7" t="s">
        <v>266</v>
      </c>
      <c r="D409" s="8" t="s">
        <v>267</v>
      </c>
      <c r="E409" s="9">
        <v>200417</v>
      </c>
      <c r="F409" s="9">
        <v>955547</v>
      </c>
      <c r="G409" s="9">
        <v>8.6348040000000008</v>
      </c>
      <c r="H409" s="9">
        <v>-83.721953999999997</v>
      </c>
      <c r="I409" s="7">
        <v>156</v>
      </c>
      <c r="J409" s="7" t="s">
        <v>26</v>
      </c>
      <c r="K409" s="10">
        <v>42868</v>
      </c>
      <c r="L409" s="10">
        <v>42885</v>
      </c>
      <c r="M409" s="11">
        <f t="shared" si="19"/>
        <v>18</v>
      </c>
      <c r="N409" s="11">
        <f t="shared" si="1"/>
        <v>18</v>
      </c>
      <c r="O409" s="8"/>
      <c r="P409" s="8" t="s">
        <v>268</v>
      </c>
    </row>
    <row r="410" spans="1:16" ht="15.75" hidden="1" customHeight="1" x14ac:dyDescent="0.2">
      <c r="A410" s="7" t="s">
        <v>186</v>
      </c>
      <c r="B410" s="7" t="s">
        <v>253</v>
      </c>
      <c r="C410" s="7" t="s">
        <v>269</v>
      </c>
      <c r="D410" s="8" t="s">
        <v>270</v>
      </c>
      <c r="E410" s="9">
        <v>200563</v>
      </c>
      <c r="F410" s="9">
        <v>955748</v>
      </c>
      <c r="G410" s="9">
        <v>8.6366309999999995</v>
      </c>
      <c r="H410" s="9">
        <v>-83.720641999999998</v>
      </c>
      <c r="I410" s="7">
        <v>158</v>
      </c>
      <c r="J410" s="7" t="s">
        <v>26</v>
      </c>
      <c r="K410" s="10">
        <v>42878</v>
      </c>
      <c r="L410" s="10">
        <v>42878</v>
      </c>
      <c r="M410" s="11">
        <f t="shared" si="19"/>
        <v>1</v>
      </c>
      <c r="N410" s="11">
        <f t="shared" si="1"/>
        <v>1</v>
      </c>
      <c r="O410" s="8"/>
      <c r="P410" s="8" t="s">
        <v>271</v>
      </c>
    </row>
    <row r="411" spans="1:16" ht="15.75" hidden="1" customHeight="1" x14ac:dyDescent="0.2">
      <c r="A411" s="7" t="s">
        <v>186</v>
      </c>
      <c r="B411" s="7" t="s">
        <v>253</v>
      </c>
      <c r="C411" s="7" t="s">
        <v>269</v>
      </c>
      <c r="D411" s="8" t="s">
        <v>272</v>
      </c>
      <c r="E411" s="9">
        <v>200914</v>
      </c>
      <c r="F411" s="9">
        <v>955899</v>
      </c>
      <c r="G411" s="9">
        <v>8.6380199999999991</v>
      </c>
      <c r="H411" s="9">
        <v>-83.717461999999998</v>
      </c>
      <c r="I411" s="7">
        <v>149</v>
      </c>
      <c r="J411" s="7" t="s">
        <v>26</v>
      </c>
      <c r="K411" s="10">
        <v>42858</v>
      </c>
      <c r="L411" s="10">
        <v>42909</v>
      </c>
      <c r="M411" s="11">
        <f t="shared" si="19"/>
        <v>52</v>
      </c>
      <c r="N411" s="11">
        <f t="shared" si="1"/>
        <v>52</v>
      </c>
      <c r="O411" s="8"/>
      <c r="P411" s="8" t="s">
        <v>273</v>
      </c>
    </row>
    <row r="412" spans="1:16" ht="15.75" hidden="1" customHeight="1" x14ac:dyDescent="0.2">
      <c r="A412" s="7" t="s">
        <v>128</v>
      </c>
      <c r="B412" s="7" t="s">
        <v>280</v>
      </c>
      <c r="C412" s="7" t="s">
        <v>281</v>
      </c>
      <c r="D412" s="8" t="s">
        <v>282</v>
      </c>
      <c r="E412" s="9">
        <v>281525</v>
      </c>
      <c r="F412" s="9">
        <v>1001404</v>
      </c>
      <c r="G412" s="9">
        <v>9.0538699999999999</v>
      </c>
      <c r="H412" s="9">
        <v>-82.9876</v>
      </c>
      <c r="I412" s="7">
        <v>2119</v>
      </c>
      <c r="J412" s="7" t="s">
        <v>26</v>
      </c>
      <c r="K412" s="10">
        <v>43000</v>
      </c>
      <c r="L412" s="10">
        <v>43060</v>
      </c>
      <c r="M412" s="11">
        <f t="shared" si="19"/>
        <v>61</v>
      </c>
      <c r="N412" s="11">
        <f t="shared" si="1"/>
        <v>61</v>
      </c>
      <c r="O412" s="8"/>
      <c r="P412" s="8" t="s">
        <v>282</v>
      </c>
    </row>
    <row r="413" spans="1:16" ht="15.75" hidden="1" customHeight="1" x14ac:dyDescent="0.2">
      <c r="A413" s="7" t="s">
        <v>128</v>
      </c>
      <c r="B413" s="7" t="s">
        <v>280</v>
      </c>
      <c r="C413" s="7" t="s">
        <v>281</v>
      </c>
      <c r="D413" s="8" t="s">
        <v>283</v>
      </c>
      <c r="E413" s="9">
        <v>281951</v>
      </c>
      <c r="F413" s="9">
        <v>1002330</v>
      </c>
      <c r="G413" s="9">
        <v>9.0622600000000002</v>
      </c>
      <c r="H413" s="9">
        <v>-82.983779999999996</v>
      </c>
      <c r="I413" s="7">
        <v>2086</v>
      </c>
      <c r="J413" s="7" t="s">
        <v>26</v>
      </c>
      <c r="K413" s="10">
        <v>43000</v>
      </c>
      <c r="L413" s="10">
        <v>43060</v>
      </c>
      <c r="M413" s="11">
        <f t="shared" si="19"/>
        <v>61</v>
      </c>
      <c r="N413" s="11">
        <f t="shared" si="1"/>
        <v>61</v>
      </c>
      <c r="O413" s="8"/>
      <c r="P413" s="8" t="s">
        <v>283</v>
      </c>
    </row>
    <row r="414" spans="1:16" ht="15.75" hidden="1" customHeight="1" x14ac:dyDescent="0.2">
      <c r="A414" s="7" t="s">
        <v>128</v>
      </c>
      <c r="B414" s="7" t="s">
        <v>280</v>
      </c>
      <c r="C414" s="7" t="s">
        <v>281</v>
      </c>
      <c r="D414" s="8" t="s">
        <v>284</v>
      </c>
      <c r="E414" s="9">
        <v>282466</v>
      </c>
      <c r="F414" s="9">
        <v>1003225</v>
      </c>
      <c r="G414" s="9">
        <v>9.0703700000000005</v>
      </c>
      <c r="H414" s="9">
        <v>-82.979140000000001</v>
      </c>
      <c r="I414" s="7">
        <v>2267</v>
      </c>
      <c r="J414" s="7" t="s">
        <v>26</v>
      </c>
      <c r="K414" s="10">
        <v>43000</v>
      </c>
      <c r="L414" s="10">
        <v>43060</v>
      </c>
      <c r="M414" s="11">
        <f t="shared" si="19"/>
        <v>61</v>
      </c>
      <c r="N414" s="11">
        <f t="shared" si="1"/>
        <v>61</v>
      </c>
      <c r="O414" s="8"/>
      <c r="P414" s="8" t="s">
        <v>284</v>
      </c>
    </row>
    <row r="415" spans="1:16" ht="15.75" hidden="1" customHeight="1" x14ac:dyDescent="0.2">
      <c r="A415" s="7" t="s">
        <v>128</v>
      </c>
      <c r="B415" s="7" t="s">
        <v>280</v>
      </c>
      <c r="C415" s="7" t="s">
        <v>281</v>
      </c>
      <c r="D415" s="8" t="s">
        <v>285</v>
      </c>
      <c r="E415" s="9">
        <v>282751</v>
      </c>
      <c r="F415" s="9">
        <v>1004271</v>
      </c>
      <c r="G415" s="9">
        <v>9.0798400000000008</v>
      </c>
      <c r="H415" s="9">
        <v>-82.976600000000005</v>
      </c>
      <c r="I415" s="7">
        <v>2302</v>
      </c>
      <c r="J415" s="7" t="s">
        <v>26</v>
      </c>
      <c r="K415" s="10">
        <v>43000</v>
      </c>
      <c r="L415" s="10">
        <v>43060</v>
      </c>
      <c r="M415" s="11">
        <f t="shared" si="19"/>
        <v>61</v>
      </c>
      <c r="N415" s="11">
        <f t="shared" si="1"/>
        <v>61</v>
      </c>
      <c r="O415" s="8"/>
      <c r="P415" s="8" t="s">
        <v>285</v>
      </c>
    </row>
    <row r="416" spans="1:16" ht="15.75" hidden="1" customHeight="1" x14ac:dyDescent="0.2">
      <c r="A416" s="7" t="s">
        <v>128</v>
      </c>
      <c r="B416" s="7" t="s">
        <v>280</v>
      </c>
      <c r="C416" s="7" t="s">
        <v>281</v>
      </c>
      <c r="D416" s="8" t="s">
        <v>286</v>
      </c>
      <c r="E416" s="9">
        <v>282616</v>
      </c>
      <c r="F416" s="9">
        <v>1004968</v>
      </c>
      <c r="G416" s="9">
        <v>9.0861400000000003</v>
      </c>
      <c r="H416" s="9">
        <v>-82.977860000000007</v>
      </c>
      <c r="I416" s="7"/>
      <c r="J416" s="7" t="s">
        <v>26</v>
      </c>
      <c r="K416" s="10">
        <v>43000</v>
      </c>
      <c r="L416" s="10">
        <v>43060</v>
      </c>
      <c r="M416" s="11">
        <f t="shared" si="19"/>
        <v>61</v>
      </c>
      <c r="N416" s="11">
        <f t="shared" si="1"/>
        <v>61</v>
      </c>
      <c r="O416" s="8"/>
      <c r="P416" s="8" t="s">
        <v>286</v>
      </c>
    </row>
    <row r="417" spans="1:16" ht="15.75" hidden="1" customHeight="1" x14ac:dyDescent="0.2">
      <c r="A417" s="14" t="s">
        <v>287</v>
      </c>
      <c r="B417" s="7" t="s">
        <v>280</v>
      </c>
      <c r="C417" s="14" t="s">
        <v>281</v>
      </c>
      <c r="D417" s="15" t="s">
        <v>282</v>
      </c>
      <c r="E417" s="16">
        <v>281525</v>
      </c>
      <c r="F417" s="16">
        <v>1001404</v>
      </c>
      <c r="G417" s="16">
        <v>9.0538699999999999</v>
      </c>
      <c r="H417" s="16">
        <v>-82.9876</v>
      </c>
      <c r="I417" s="14">
        <v>2119</v>
      </c>
      <c r="J417" s="14" t="s">
        <v>26</v>
      </c>
      <c r="K417" s="17">
        <v>43367</v>
      </c>
      <c r="L417" s="17">
        <v>43508</v>
      </c>
      <c r="M417" s="18">
        <f t="shared" si="19"/>
        <v>142</v>
      </c>
      <c r="N417" s="11">
        <f t="shared" si="1"/>
        <v>142</v>
      </c>
      <c r="O417" s="15" t="s">
        <v>288</v>
      </c>
      <c r="P417" s="15" t="s">
        <v>282</v>
      </c>
    </row>
    <row r="418" spans="1:16" ht="15.75" hidden="1" customHeight="1" x14ac:dyDescent="0.2">
      <c r="A418" s="14" t="s">
        <v>287</v>
      </c>
      <c r="B418" s="7" t="s">
        <v>280</v>
      </c>
      <c r="C418" s="14" t="s">
        <v>281</v>
      </c>
      <c r="D418" s="15" t="s">
        <v>283</v>
      </c>
      <c r="E418" s="16">
        <v>281951</v>
      </c>
      <c r="F418" s="16">
        <v>1002330</v>
      </c>
      <c r="G418" s="16">
        <v>9.0622600000000002</v>
      </c>
      <c r="H418" s="16">
        <v>-82.983779999999996</v>
      </c>
      <c r="I418" s="14">
        <v>2086</v>
      </c>
      <c r="J418" s="14" t="s">
        <v>26</v>
      </c>
      <c r="K418" s="17">
        <v>43367</v>
      </c>
      <c r="L418" s="17">
        <v>43457</v>
      </c>
      <c r="M418" s="18">
        <f t="shared" si="19"/>
        <v>91</v>
      </c>
      <c r="N418" s="11">
        <f t="shared" si="1"/>
        <v>91</v>
      </c>
      <c r="O418" s="15" t="s">
        <v>288</v>
      </c>
      <c r="P418" s="15" t="s">
        <v>283</v>
      </c>
    </row>
    <row r="419" spans="1:16" ht="15.75" hidden="1" customHeight="1" x14ac:dyDescent="0.2">
      <c r="A419" s="14" t="s">
        <v>287</v>
      </c>
      <c r="B419" s="7" t="s">
        <v>280</v>
      </c>
      <c r="C419" s="14" t="s">
        <v>281</v>
      </c>
      <c r="D419" s="15" t="s">
        <v>284</v>
      </c>
      <c r="E419" s="16">
        <v>282466</v>
      </c>
      <c r="F419" s="16">
        <v>1003225</v>
      </c>
      <c r="G419" s="16">
        <v>9.0703700000000005</v>
      </c>
      <c r="H419" s="16">
        <v>-82.979140000000001</v>
      </c>
      <c r="I419" s="14">
        <v>2267</v>
      </c>
      <c r="J419" s="14" t="s">
        <v>26</v>
      </c>
      <c r="K419" s="17">
        <v>43367</v>
      </c>
      <c r="L419" s="17">
        <v>43449</v>
      </c>
      <c r="M419" s="18">
        <f t="shared" si="19"/>
        <v>83</v>
      </c>
      <c r="N419" s="11">
        <f t="shared" si="1"/>
        <v>83</v>
      </c>
      <c r="O419" s="15" t="s">
        <v>288</v>
      </c>
      <c r="P419" s="15" t="s">
        <v>284</v>
      </c>
    </row>
    <row r="420" spans="1:16" ht="15.75" hidden="1" customHeight="1" x14ac:dyDescent="0.2">
      <c r="A420" s="14" t="s">
        <v>287</v>
      </c>
      <c r="B420" s="7" t="s">
        <v>280</v>
      </c>
      <c r="C420" s="14" t="s">
        <v>281</v>
      </c>
      <c r="D420" s="15" t="s">
        <v>285</v>
      </c>
      <c r="E420" s="16">
        <v>282751</v>
      </c>
      <c r="F420" s="16">
        <v>1004271</v>
      </c>
      <c r="G420" s="16">
        <v>9.0798400000000008</v>
      </c>
      <c r="H420" s="16">
        <v>-82.976600000000005</v>
      </c>
      <c r="I420" s="14">
        <v>2302</v>
      </c>
      <c r="J420" s="14" t="s">
        <v>26</v>
      </c>
      <c r="K420" s="17">
        <v>43367</v>
      </c>
      <c r="L420" s="17">
        <v>43508</v>
      </c>
      <c r="M420" s="18">
        <f t="shared" si="19"/>
        <v>142</v>
      </c>
      <c r="N420" s="11">
        <f t="shared" si="1"/>
        <v>142</v>
      </c>
      <c r="O420" s="15" t="s">
        <v>288</v>
      </c>
      <c r="P420" s="15" t="s">
        <v>285</v>
      </c>
    </row>
    <row r="421" spans="1:16" ht="15.75" hidden="1" customHeight="1" x14ac:dyDescent="0.2">
      <c r="A421" s="14" t="s">
        <v>287</v>
      </c>
      <c r="B421" s="7" t="s">
        <v>280</v>
      </c>
      <c r="C421" s="14" t="s">
        <v>281</v>
      </c>
      <c r="D421" s="15" t="s">
        <v>286</v>
      </c>
      <c r="E421" s="16">
        <v>282616</v>
      </c>
      <c r="F421" s="16">
        <v>1004968</v>
      </c>
      <c r="G421" s="16">
        <v>9.0861400000000003</v>
      </c>
      <c r="H421" s="16">
        <v>-82.977860000000007</v>
      </c>
      <c r="I421" s="14">
        <v>2486</v>
      </c>
      <c r="J421" s="14" t="s">
        <v>26</v>
      </c>
      <c r="K421" s="17">
        <v>43367</v>
      </c>
      <c r="L421" s="17">
        <v>43508</v>
      </c>
      <c r="M421" s="18">
        <f t="shared" si="19"/>
        <v>142</v>
      </c>
      <c r="N421" s="11">
        <f t="shared" si="1"/>
        <v>142</v>
      </c>
      <c r="O421" s="15" t="s">
        <v>288</v>
      </c>
      <c r="P421" s="15" t="s">
        <v>286</v>
      </c>
    </row>
    <row r="422" spans="1:16" ht="15.75" hidden="1" customHeight="1" x14ac:dyDescent="0.2">
      <c r="A422" s="14" t="s">
        <v>287</v>
      </c>
      <c r="B422" s="7" t="s">
        <v>280</v>
      </c>
      <c r="C422" s="14" t="s">
        <v>281</v>
      </c>
      <c r="D422" s="15" t="s">
        <v>289</v>
      </c>
      <c r="E422" s="16">
        <v>282788.58</v>
      </c>
      <c r="F422" s="16">
        <v>1005988.42</v>
      </c>
      <c r="G422" s="16">
        <v>9.0953700000000008</v>
      </c>
      <c r="H422" s="16">
        <v>-82.976339999999993</v>
      </c>
      <c r="I422" s="14">
        <v>2555</v>
      </c>
      <c r="J422" s="14" t="s">
        <v>26</v>
      </c>
      <c r="K422" s="17">
        <v>43367</v>
      </c>
      <c r="L422" s="17">
        <v>43508</v>
      </c>
      <c r="M422" s="18">
        <f t="shared" si="19"/>
        <v>142</v>
      </c>
      <c r="N422" s="11">
        <f t="shared" si="1"/>
        <v>142</v>
      </c>
      <c r="O422" s="15" t="s">
        <v>288</v>
      </c>
      <c r="P422" s="15" t="s">
        <v>289</v>
      </c>
    </row>
    <row r="423" spans="1:16" ht="15.75" hidden="1" customHeight="1" x14ac:dyDescent="0.2">
      <c r="A423" s="14" t="s">
        <v>287</v>
      </c>
      <c r="B423" s="7" t="s">
        <v>280</v>
      </c>
      <c r="C423" s="14" t="s">
        <v>281</v>
      </c>
      <c r="D423" s="15" t="s">
        <v>290</v>
      </c>
      <c r="E423" s="16">
        <v>283239.52</v>
      </c>
      <c r="F423" s="16">
        <v>1006618.73</v>
      </c>
      <c r="G423" s="16">
        <v>9.1010899999999992</v>
      </c>
      <c r="H423" s="16">
        <v>-82.972269999999995</v>
      </c>
      <c r="I423" s="14">
        <v>2516</v>
      </c>
      <c r="J423" s="14" t="s">
        <v>26</v>
      </c>
      <c r="K423" s="17"/>
      <c r="L423" s="17"/>
      <c r="M423" s="18">
        <f t="shared" si="19"/>
        <v>0</v>
      </c>
      <c r="N423" s="11">
        <f t="shared" si="1"/>
        <v>0</v>
      </c>
      <c r="O423" s="15" t="s">
        <v>288</v>
      </c>
      <c r="P423" s="15" t="s">
        <v>290</v>
      </c>
    </row>
    <row r="424" spans="1:16" ht="15.75" hidden="1" customHeight="1" x14ac:dyDescent="0.2">
      <c r="A424" s="14" t="s">
        <v>287</v>
      </c>
      <c r="B424" s="7" t="s">
        <v>280</v>
      </c>
      <c r="C424" s="14" t="s">
        <v>281</v>
      </c>
      <c r="D424" s="15" t="s">
        <v>291</v>
      </c>
      <c r="E424" s="16">
        <v>283741.14</v>
      </c>
      <c r="F424" s="16">
        <v>1006665.78</v>
      </c>
      <c r="G424" s="16">
        <v>9.10154</v>
      </c>
      <c r="H424" s="16">
        <v>-82.967709999999997</v>
      </c>
      <c r="I424" s="14">
        <v>2524</v>
      </c>
      <c r="J424" s="14" t="s">
        <v>26</v>
      </c>
      <c r="K424" s="17">
        <v>43367</v>
      </c>
      <c r="L424" s="17">
        <v>43508</v>
      </c>
      <c r="M424" s="18">
        <f t="shared" si="19"/>
        <v>142</v>
      </c>
      <c r="N424" s="11">
        <f t="shared" si="1"/>
        <v>142</v>
      </c>
      <c r="O424" s="15" t="s">
        <v>288</v>
      </c>
      <c r="P424" s="15" t="s">
        <v>291</v>
      </c>
    </row>
    <row r="425" spans="1:16" ht="15.75" hidden="1" customHeight="1" x14ac:dyDescent="0.2">
      <c r="A425" s="14" t="s">
        <v>287</v>
      </c>
      <c r="B425" s="7" t="s">
        <v>280</v>
      </c>
      <c r="C425" s="14" t="s">
        <v>281</v>
      </c>
      <c r="D425" s="15" t="s">
        <v>292</v>
      </c>
      <c r="E425" s="16">
        <v>284323.02</v>
      </c>
      <c r="F425" s="16">
        <v>1007523.27</v>
      </c>
      <c r="G425" s="16">
        <v>9.1093200000000003</v>
      </c>
      <c r="H425" s="16">
        <v>-82.962459999999993</v>
      </c>
      <c r="I425" s="14">
        <v>2491</v>
      </c>
      <c r="J425" s="14" t="s">
        <v>26</v>
      </c>
      <c r="K425" s="17">
        <v>43367</v>
      </c>
      <c r="L425" s="17">
        <v>43508</v>
      </c>
      <c r="M425" s="18">
        <f t="shared" si="19"/>
        <v>142</v>
      </c>
      <c r="N425" s="11">
        <f t="shared" si="1"/>
        <v>142</v>
      </c>
      <c r="O425" s="15" t="s">
        <v>288</v>
      </c>
      <c r="P425" s="15" t="s">
        <v>292</v>
      </c>
    </row>
    <row r="426" spans="1:16" ht="15.75" hidden="1" customHeight="1" x14ac:dyDescent="0.2">
      <c r="A426" s="14" t="s">
        <v>287</v>
      </c>
      <c r="B426" s="7" t="s">
        <v>280</v>
      </c>
      <c r="C426" s="14" t="s">
        <v>281</v>
      </c>
      <c r="D426" s="15" t="s">
        <v>293</v>
      </c>
      <c r="E426" s="16">
        <v>284225.40999999997</v>
      </c>
      <c r="F426" s="16">
        <v>1008377.81</v>
      </c>
      <c r="G426" s="16">
        <v>9.1170399999999994</v>
      </c>
      <c r="H426" s="16">
        <v>-82.963390000000004</v>
      </c>
      <c r="I426" s="14">
        <v>2474</v>
      </c>
      <c r="J426" s="14" t="s">
        <v>26</v>
      </c>
      <c r="K426" s="17">
        <v>43368</v>
      </c>
      <c r="L426" s="17">
        <v>43509</v>
      </c>
      <c r="M426" s="18">
        <f t="shared" si="19"/>
        <v>142</v>
      </c>
      <c r="N426" s="11">
        <f t="shared" si="1"/>
        <v>142</v>
      </c>
      <c r="O426" s="15" t="s">
        <v>288</v>
      </c>
      <c r="P426" s="15" t="s">
        <v>293</v>
      </c>
    </row>
    <row r="427" spans="1:16" ht="15.75" hidden="1" customHeight="1" x14ac:dyDescent="0.2">
      <c r="A427" s="32" t="s">
        <v>287</v>
      </c>
      <c r="B427" s="7" t="s">
        <v>280</v>
      </c>
      <c r="C427" s="14" t="s">
        <v>281</v>
      </c>
      <c r="D427" s="15" t="s">
        <v>282</v>
      </c>
      <c r="E427" s="16">
        <v>281525</v>
      </c>
      <c r="F427" s="16">
        <v>1001404</v>
      </c>
      <c r="G427" s="16">
        <v>9.0538699999999999</v>
      </c>
      <c r="H427" s="16">
        <v>-82.9876</v>
      </c>
      <c r="I427" s="14">
        <v>2119</v>
      </c>
      <c r="J427" s="14" t="s">
        <v>26</v>
      </c>
      <c r="K427" s="17">
        <v>43509</v>
      </c>
      <c r="L427" s="17">
        <v>43597</v>
      </c>
      <c r="M427" s="18">
        <f t="shared" si="19"/>
        <v>89</v>
      </c>
      <c r="N427" s="11">
        <f t="shared" si="1"/>
        <v>89</v>
      </c>
      <c r="O427" s="15" t="s">
        <v>294</v>
      </c>
      <c r="P427" s="15" t="s">
        <v>282</v>
      </c>
    </row>
    <row r="428" spans="1:16" ht="15.75" hidden="1" customHeight="1" x14ac:dyDescent="0.2">
      <c r="A428" s="32" t="s">
        <v>287</v>
      </c>
      <c r="B428" s="7" t="s">
        <v>280</v>
      </c>
      <c r="C428" s="14" t="s">
        <v>281</v>
      </c>
      <c r="D428" s="15" t="s">
        <v>283</v>
      </c>
      <c r="E428" s="16">
        <v>281951</v>
      </c>
      <c r="F428" s="16">
        <v>1002330</v>
      </c>
      <c r="G428" s="16">
        <v>9.0622600000000002</v>
      </c>
      <c r="H428" s="16">
        <v>-82.983779999999996</v>
      </c>
      <c r="I428" s="14">
        <v>2086</v>
      </c>
      <c r="J428" s="14" t="s">
        <v>26</v>
      </c>
      <c r="K428" s="17">
        <v>43508</v>
      </c>
      <c r="L428" s="17">
        <v>43597</v>
      </c>
      <c r="M428" s="18">
        <f t="shared" si="19"/>
        <v>90</v>
      </c>
      <c r="N428" s="11">
        <f t="shared" si="1"/>
        <v>90</v>
      </c>
      <c r="O428" s="15" t="s">
        <v>294</v>
      </c>
      <c r="P428" s="15" t="s">
        <v>283</v>
      </c>
    </row>
    <row r="429" spans="1:16" ht="15.75" hidden="1" customHeight="1" x14ac:dyDescent="0.2">
      <c r="A429" s="32" t="s">
        <v>287</v>
      </c>
      <c r="B429" s="7" t="s">
        <v>280</v>
      </c>
      <c r="C429" s="14" t="s">
        <v>281</v>
      </c>
      <c r="D429" s="15" t="s">
        <v>284</v>
      </c>
      <c r="E429" s="16">
        <v>282466</v>
      </c>
      <c r="F429" s="16">
        <v>1003225</v>
      </c>
      <c r="G429" s="16">
        <v>9.0703700000000005</v>
      </c>
      <c r="H429" s="16">
        <v>-82.979140000000001</v>
      </c>
      <c r="I429" s="14">
        <v>2267</v>
      </c>
      <c r="J429" s="14" t="s">
        <v>26</v>
      </c>
      <c r="K429" s="17">
        <v>43508</v>
      </c>
      <c r="L429" s="17">
        <v>43531</v>
      </c>
      <c r="M429" s="18">
        <f t="shared" si="19"/>
        <v>24</v>
      </c>
      <c r="N429" s="11">
        <f t="shared" si="1"/>
        <v>24</v>
      </c>
      <c r="O429" s="15" t="s">
        <v>294</v>
      </c>
      <c r="P429" s="15" t="s">
        <v>284</v>
      </c>
    </row>
    <row r="430" spans="1:16" ht="15.75" hidden="1" customHeight="1" x14ac:dyDescent="0.2">
      <c r="A430" s="32" t="s">
        <v>287</v>
      </c>
      <c r="B430" s="7" t="s">
        <v>280</v>
      </c>
      <c r="C430" s="14" t="s">
        <v>281</v>
      </c>
      <c r="D430" s="15" t="s">
        <v>285</v>
      </c>
      <c r="E430" s="16">
        <v>282751</v>
      </c>
      <c r="F430" s="16">
        <v>1004271</v>
      </c>
      <c r="G430" s="16">
        <v>9.0798400000000008</v>
      </c>
      <c r="H430" s="16">
        <v>-82.976600000000005</v>
      </c>
      <c r="I430" s="14">
        <v>2302</v>
      </c>
      <c r="J430" s="14" t="s">
        <v>26</v>
      </c>
      <c r="K430" s="17">
        <v>43508</v>
      </c>
      <c r="L430" s="17">
        <v>43597</v>
      </c>
      <c r="M430" s="18">
        <f t="shared" si="19"/>
        <v>90</v>
      </c>
      <c r="N430" s="11">
        <f t="shared" si="1"/>
        <v>90</v>
      </c>
      <c r="O430" s="15" t="s">
        <v>294</v>
      </c>
      <c r="P430" s="15" t="s">
        <v>285</v>
      </c>
    </row>
    <row r="431" spans="1:16" ht="15" hidden="1" customHeight="1" x14ac:dyDescent="0.2">
      <c r="A431" s="32" t="s">
        <v>287</v>
      </c>
      <c r="B431" s="7" t="s">
        <v>280</v>
      </c>
      <c r="C431" s="14" t="s">
        <v>281</v>
      </c>
      <c r="D431" s="15" t="s">
        <v>286</v>
      </c>
      <c r="E431" s="16">
        <v>282616</v>
      </c>
      <c r="F431" s="16">
        <v>1004968</v>
      </c>
      <c r="G431" s="16">
        <v>9.0861400000000003</v>
      </c>
      <c r="H431" s="16">
        <v>-82.977860000000007</v>
      </c>
      <c r="I431" s="14">
        <v>2486</v>
      </c>
      <c r="J431" s="14" t="s">
        <v>26</v>
      </c>
      <c r="K431" s="17">
        <v>43508</v>
      </c>
      <c r="L431" s="17">
        <v>43597</v>
      </c>
      <c r="M431" s="18">
        <f t="shared" si="19"/>
        <v>90</v>
      </c>
      <c r="N431" s="11">
        <f t="shared" si="1"/>
        <v>90</v>
      </c>
      <c r="O431" s="15" t="s">
        <v>294</v>
      </c>
      <c r="P431" s="15" t="s">
        <v>286</v>
      </c>
    </row>
    <row r="432" spans="1:16" ht="15.75" hidden="1" customHeight="1" x14ac:dyDescent="0.2">
      <c r="A432" s="32" t="s">
        <v>287</v>
      </c>
      <c r="B432" s="7" t="s">
        <v>280</v>
      </c>
      <c r="C432" s="14" t="s">
        <v>281</v>
      </c>
      <c r="D432" s="15" t="s">
        <v>289</v>
      </c>
      <c r="E432" s="16">
        <v>282788.58</v>
      </c>
      <c r="F432" s="16">
        <v>1005988.42</v>
      </c>
      <c r="G432" s="16">
        <v>9.0953700000000008</v>
      </c>
      <c r="H432" s="16">
        <v>-82.976339999999993</v>
      </c>
      <c r="I432" s="14">
        <v>2555</v>
      </c>
      <c r="J432" s="14" t="s">
        <v>26</v>
      </c>
      <c r="K432" s="17">
        <v>43508</v>
      </c>
      <c r="L432" s="17">
        <v>43597</v>
      </c>
      <c r="M432" s="18">
        <f t="shared" si="19"/>
        <v>90</v>
      </c>
      <c r="N432" s="11">
        <f t="shared" si="1"/>
        <v>90</v>
      </c>
      <c r="O432" s="15" t="s">
        <v>294</v>
      </c>
      <c r="P432" s="15" t="s">
        <v>289</v>
      </c>
    </row>
    <row r="433" spans="1:16" ht="15.75" hidden="1" customHeight="1" x14ac:dyDescent="0.2">
      <c r="A433" s="32" t="s">
        <v>287</v>
      </c>
      <c r="B433" s="7" t="s">
        <v>280</v>
      </c>
      <c r="C433" s="14" t="s">
        <v>281</v>
      </c>
      <c r="D433" s="15" t="s">
        <v>290</v>
      </c>
      <c r="E433" s="16">
        <v>283239.52</v>
      </c>
      <c r="F433" s="16">
        <v>1006618.73</v>
      </c>
      <c r="G433" s="16">
        <v>9.1010899999999992</v>
      </c>
      <c r="H433" s="16">
        <v>-82.972269999999995</v>
      </c>
      <c r="I433" s="14">
        <v>2516</v>
      </c>
      <c r="J433" s="14" t="s">
        <v>26</v>
      </c>
      <c r="K433" s="17">
        <v>43508</v>
      </c>
      <c r="L433" s="17">
        <v>43597</v>
      </c>
      <c r="M433" s="18">
        <f t="shared" si="19"/>
        <v>90</v>
      </c>
      <c r="N433" s="11">
        <f t="shared" si="1"/>
        <v>90</v>
      </c>
      <c r="O433" s="15" t="s">
        <v>294</v>
      </c>
      <c r="P433" s="15" t="s">
        <v>290</v>
      </c>
    </row>
    <row r="434" spans="1:16" ht="15.75" hidden="1" customHeight="1" x14ac:dyDescent="0.2">
      <c r="A434" s="32" t="s">
        <v>287</v>
      </c>
      <c r="B434" s="7" t="s">
        <v>280</v>
      </c>
      <c r="C434" s="14" t="s">
        <v>281</v>
      </c>
      <c r="D434" s="15" t="s">
        <v>291</v>
      </c>
      <c r="E434" s="16">
        <v>283741.14</v>
      </c>
      <c r="F434" s="16">
        <v>1006665.78</v>
      </c>
      <c r="G434" s="16">
        <v>9.10154</v>
      </c>
      <c r="H434" s="16">
        <v>-82.967709999999997</v>
      </c>
      <c r="I434" s="14">
        <v>2524</v>
      </c>
      <c r="J434" s="14" t="s">
        <v>26</v>
      </c>
      <c r="K434" s="17">
        <v>43508</v>
      </c>
      <c r="L434" s="17">
        <v>43597</v>
      </c>
      <c r="M434" s="18">
        <f t="shared" si="19"/>
        <v>90</v>
      </c>
      <c r="N434" s="11">
        <f t="shared" si="1"/>
        <v>90</v>
      </c>
      <c r="O434" s="15" t="s">
        <v>294</v>
      </c>
      <c r="P434" s="15" t="s">
        <v>291</v>
      </c>
    </row>
    <row r="435" spans="1:16" ht="15.75" hidden="1" customHeight="1" x14ac:dyDescent="0.2">
      <c r="A435" s="32" t="s">
        <v>287</v>
      </c>
      <c r="B435" s="7" t="s">
        <v>280</v>
      </c>
      <c r="C435" s="14" t="s">
        <v>281</v>
      </c>
      <c r="D435" s="15" t="s">
        <v>292</v>
      </c>
      <c r="E435" s="16">
        <v>284323.02</v>
      </c>
      <c r="F435" s="16">
        <v>1007523.27</v>
      </c>
      <c r="G435" s="16">
        <v>9.1093200000000003</v>
      </c>
      <c r="H435" s="16">
        <v>-82.962459999999993</v>
      </c>
      <c r="I435" s="14">
        <v>2491</v>
      </c>
      <c r="J435" s="14" t="s">
        <v>26</v>
      </c>
      <c r="K435" s="17">
        <v>43508</v>
      </c>
      <c r="L435" s="17">
        <v>43558</v>
      </c>
      <c r="M435" s="18">
        <f t="shared" si="19"/>
        <v>51</v>
      </c>
      <c r="N435" s="11">
        <f t="shared" si="1"/>
        <v>51</v>
      </c>
      <c r="O435" s="15" t="s">
        <v>294</v>
      </c>
      <c r="P435" s="15" t="s">
        <v>292</v>
      </c>
    </row>
    <row r="436" spans="1:16" ht="15.75" hidden="1" customHeight="1" x14ac:dyDescent="0.2">
      <c r="A436" s="32" t="s">
        <v>287</v>
      </c>
      <c r="B436" s="7" t="s">
        <v>280</v>
      </c>
      <c r="C436" s="14" t="s">
        <v>281</v>
      </c>
      <c r="D436" s="15" t="s">
        <v>293</v>
      </c>
      <c r="E436" s="16">
        <v>284225.40999999997</v>
      </c>
      <c r="F436" s="16">
        <v>1008377.81</v>
      </c>
      <c r="G436" s="16">
        <v>9.1170399999999994</v>
      </c>
      <c r="H436" s="16">
        <v>-82.963390000000004</v>
      </c>
      <c r="I436" s="14">
        <v>2474</v>
      </c>
      <c r="J436" s="14" t="s">
        <v>26</v>
      </c>
      <c r="K436" s="17">
        <v>43509</v>
      </c>
      <c r="L436" s="17">
        <v>43598</v>
      </c>
      <c r="M436" s="18">
        <f t="shared" si="19"/>
        <v>90</v>
      </c>
      <c r="N436" s="11">
        <f t="shared" si="1"/>
        <v>90</v>
      </c>
      <c r="O436" s="15" t="s">
        <v>294</v>
      </c>
      <c r="P436" s="15" t="s">
        <v>293</v>
      </c>
    </row>
    <row r="437" spans="1:16" ht="15" hidden="1" customHeight="1" x14ac:dyDescent="0.2">
      <c r="A437" s="14" t="s">
        <v>295</v>
      </c>
      <c r="B437" s="7" t="s">
        <v>280</v>
      </c>
      <c r="C437" s="14" t="s">
        <v>281</v>
      </c>
      <c r="D437" s="15" t="s">
        <v>282</v>
      </c>
      <c r="E437" s="16">
        <v>281525</v>
      </c>
      <c r="F437" s="16">
        <v>1001404</v>
      </c>
      <c r="G437" s="16">
        <v>9.0538699999999999</v>
      </c>
      <c r="H437" s="16">
        <v>-82.9876</v>
      </c>
      <c r="I437" s="14">
        <v>2119</v>
      </c>
      <c r="J437" s="14" t="s">
        <v>26</v>
      </c>
      <c r="K437" s="17">
        <v>43597</v>
      </c>
      <c r="L437" s="17">
        <v>43640</v>
      </c>
      <c r="M437" s="18">
        <f t="shared" si="19"/>
        <v>44</v>
      </c>
      <c r="N437" s="11">
        <f t="shared" si="1"/>
        <v>44</v>
      </c>
      <c r="O437" s="15" t="s">
        <v>296</v>
      </c>
      <c r="P437" s="15" t="s">
        <v>282</v>
      </c>
    </row>
    <row r="438" spans="1:16" ht="15" hidden="1" customHeight="1" x14ac:dyDescent="0.2">
      <c r="A438" s="14" t="s">
        <v>295</v>
      </c>
      <c r="B438" s="7" t="s">
        <v>280</v>
      </c>
      <c r="C438" s="14" t="s">
        <v>281</v>
      </c>
      <c r="D438" s="15" t="s">
        <v>283</v>
      </c>
      <c r="E438" s="16">
        <v>281951</v>
      </c>
      <c r="F438" s="16">
        <v>1002330</v>
      </c>
      <c r="G438" s="16">
        <v>9.0622600000000002</v>
      </c>
      <c r="H438" s="16">
        <v>-82.983779999999996</v>
      </c>
      <c r="I438" s="14">
        <v>2086</v>
      </c>
      <c r="J438" s="14" t="s">
        <v>26</v>
      </c>
      <c r="K438" s="17">
        <v>43597</v>
      </c>
      <c r="L438" s="17">
        <v>43640</v>
      </c>
      <c r="M438" s="18">
        <f t="shared" si="19"/>
        <v>44</v>
      </c>
      <c r="N438" s="11">
        <f t="shared" si="1"/>
        <v>44</v>
      </c>
      <c r="O438" s="15" t="s">
        <v>296</v>
      </c>
      <c r="P438" s="15" t="s">
        <v>283</v>
      </c>
    </row>
    <row r="439" spans="1:16" ht="15.75" hidden="1" customHeight="1" x14ac:dyDescent="0.2">
      <c r="A439" s="14" t="s">
        <v>295</v>
      </c>
      <c r="B439" s="7" t="s">
        <v>280</v>
      </c>
      <c r="C439" s="14" t="s">
        <v>281</v>
      </c>
      <c r="D439" s="15" t="s">
        <v>284</v>
      </c>
      <c r="E439" s="16">
        <v>282466</v>
      </c>
      <c r="F439" s="16">
        <v>1003225</v>
      </c>
      <c r="G439" s="16">
        <v>9.0703700000000005</v>
      </c>
      <c r="H439" s="16">
        <v>-82.979140000000001</v>
      </c>
      <c r="I439" s="14">
        <v>2267</v>
      </c>
      <c r="J439" s="14" t="s">
        <v>26</v>
      </c>
      <c r="K439" s="17">
        <v>43597</v>
      </c>
      <c r="L439" s="17">
        <v>43640</v>
      </c>
      <c r="M439" s="18">
        <f t="shared" si="19"/>
        <v>44</v>
      </c>
      <c r="N439" s="11">
        <f t="shared" si="1"/>
        <v>44</v>
      </c>
      <c r="O439" s="15" t="s">
        <v>296</v>
      </c>
      <c r="P439" s="15" t="s">
        <v>284</v>
      </c>
    </row>
    <row r="440" spans="1:16" ht="15.75" hidden="1" customHeight="1" x14ac:dyDescent="0.2">
      <c r="A440" s="14" t="s">
        <v>295</v>
      </c>
      <c r="B440" s="7" t="s">
        <v>280</v>
      </c>
      <c r="C440" s="14" t="s">
        <v>281</v>
      </c>
      <c r="D440" s="15" t="s">
        <v>285</v>
      </c>
      <c r="E440" s="16">
        <v>282751</v>
      </c>
      <c r="F440" s="16">
        <v>1004271</v>
      </c>
      <c r="G440" s="16">
        <v>9.0798400000000008</v>
      </c>
      <c r="H440" s="16">
        <v>-82.976600000000005</v>
      </c>
      <c r="I440" s="14">
        <v>2302</v>
      </c>
      <c r="J440" s="14" t="s">
        <v>26</v>
      </c>
      <c r="K440" s="17">
        <v>43597</v>
      </c>
      <c r="L440" s="17">
        <v>43640</v>
      </c>
      <c r="M440" s="18">
        <f t="shared" si="19"/>
        <v>44</v>
      </c>
      <c r="N440" s="11">
        <f t="shared" si="1"/>
        <v>44</v>
      </c>
      <c r="O440" s="15" t="s">
        <v>296</v>
      </c>
      <c r="P440" s="15" t="s">
        <v>285</v>
      </c>
    </row>
    <row r="441" spans="1:16" ht="15.75" hidden="1" customHeight="1" x14ac:dyDescent="0.2">
      <c r="A441" s="14" t="s">
        <v>295</v>
      </c>
      <c r="B441" s="7" t="s">
        <v>280</v>
      </c>
      <c r="C441" s="14" t="s">
        <v>281</v>
      </c>
      <c r="D441" s="15" t="s">
        <v>286</v>
      </c>
      <c r="E441" s="16">
        <v>282616</v>
      </c>
      <c r="F441" s="16">
        <v>1004968</v>
      </c>
      <c r="G441" s="16">
        <v>9.0861400000000003</v>
      </c>
      <c r="H441" s="16">
        <v>-82.977860000000007</v>
      </c>
      <c r="I441" s="14">
        <v>2486</v>
      </c>
      <c r="J441" s="14" t="s">
        <v>26</v>
      </c>
      <c r="K441" s="17">
        <v>43597</v>
      </c>
      <c r="L441" s="17">
        <v>43640</v>
      </c>
      <c r="M441" s="18">
        <f t="shared" si="19"/>
        <v>44</v>
      </c>
      <c r="N441" s="11">
        <f t="shared" si="1"/>
        <v>44</v>
      </c>
      <c r="O441" s="15" t="s">
        <v>296</v>
      </c>
      <c r="P441" s="15" t="s">
        <v>286</v>
      </c>
    </row>
    <row r="442" spans="1:16" ht="15.75" hidden="1" customHeight="1" x14ac:dyDescent="0.2">
      <c r="A442" s="14" t="s">
        <v>295</v>
      </c>
      <c r="B442" s="7" t="s">
        <v>280</v>
      </c>
      <c r="C442" s="14" t="s">
        <v>281</v>
      </c>
      <c r="D442" s="15" t="s">
        <v>289</v>
      </c>
      <c r="E442" s="16">
        <v>282788.58</v>
      </c>
      <c r="F442" s="16">
        <v>1005988.42</v>
      </c>
      <c r="G442" s="16">
        <v>9.0953700000000008</v>
      </c>
      <c r="H442" s="16">
        <v>-82.976339999999993</v>
      </c>
      <c r="I442" s="14">
        <v>2555</v>
      </c>
      <c r="J442" s="14" t="s">
        <v>26</v>
      </c>
      <c r="K442" s="17">
        <v>43597</v>
      </c>
      <c r="L442" s="17">
        <v>43640</v>
      </c>
      <c r="M442" s="18">
        <f t="shared" si="19"/>
        <v>44</v>
      </c>
      <c r="N442" s="11">
        <f t="shared" si="1"/>
        <v>44</v>
      </c>
      <c r="O442" s="15" t="s">
        <v>296</v>
      </c>
      <c r="P442" s="15" t="s">
        <v>289</v>
      </c>
    </row>
    <row r="443" spans="1:16" ht="15.75" hidden="1" customHeight="1" x14ac:dyDescent="0.2">
      <c r="A443" s="14" t="s">
        <v>295</v>
      </c>
      <c r="B443" s="7" t="s">
        <v>280</v>
      </c>
      <c r="C443" s="14" t="s">
        <v>281</v>
      </c>
      <c r="D443" s="15" t="s">
        <v>290</v>
      </c>
      <c r="E443" s="16">
        <v>283239.52</v>
      </c>
      <c r="F443" s="16">
        <v>1006618.73</v>
      </c>
      <c r="G443" s="16">
        <v>9.1010899999999992</v>
      </c>
      <c r="H443" s="16">
        <v>-82.972269999999995</v>
      </c>
      <c r="I443" s="14">
        <v>2516</v>
      </c>
      <c r="J443" s="14" t="s">
        <v>26</v>
      </c>
      <c r="K443" s="17">
        <v>43597</v>
      </c>
      <c r="L443" s="17">
        <v>43640</v>
      </c>
      <c r="M443" s="18">
        <f t="shared" si="19"/>
        <v>44</v>
      </c>
      <c r="N443" s="11">
        <f t="shared" si="1"/>
        <v>44</v>
      </c>
      <c r="O443" s="15" t="s">
        <v>296</v>
      </c>
      <c r="P443" s="15" t="s">
        <v>290</v>
      </c>
    </row>
    <row r="444" spans="1:16" ht="15.75" hidden="1" customHeight="1" x14ac:dyDescent="0.2">
      <c r="A444" s="14" t="s">
        <v>295</v>
      </c>
      <c r="B444" s="7" t="s">
        <v>280</v>
      </c>
      <c r="C444" s="14" t="s">
        <v>281</v>
      </c>
      <c r="D444" s="15" t="s">
        <v>291</v>
      </c>
      <c r="E444" s="16">
        <v>283741.14</v>
      </c>
      <c r="F444" s="16">
        <v>1006665.78</v>
      </c>
      <c r="G444" s="16">
        <v>9.10154</v>
      </c>
      <c r="H444" s="16">
        <v>-82.967709999999997</v>
      </c>
      <c r="I444" s="14">
        <v>2524</v>
      </c>
      <c r="J444" s="14" t="s">
        <v>26</v>
      </c>
      <c r="K444" s="17">
        <v>43597</v>
      </c>
      <c r="L444" s="17">
        <v>43640</v>
      </c>
      <c r="M444" s="18">
        <f t="shared" si="19"/>
        <v>44</v>
      </c>
      <c r="N444" s="11">
        <f t="shared" si="1"/>
        <v>44</v>
      </c>
      <c r="O444" s="15" t="s">
        <v>296</v>
      </c>
      <c r="P444" s="15" t="s">
        <v>291</v>
      </c>
    </row>
    <row r="445" spans="1:16" ht="15.75" hidden="1" customHeight="1" x14ac:dyDescent="0.2">
      <c r="A445" s="14" t="s">
        <v>295</v>
      </c>
      <c r="B445" s="7" t="s">
        <v>280</v>
      </c>
      <c r="C445" s="14" t="s">
        <v>281</v>
      </c>
      <c r="D445" s="15" t="s">
        <v>292</v>
      </c>
      <c r="E445" s="16">
        <v>284323.02</v>
      </c>
      <c r="F445" s="16">
        <v>1007523.27</v>
      </c>
      <c r="G445" s="16">
        <v>9.1093200000000003</v>
      </c>
      <c r="H445" s="16">
        <v>-82.962459999999993</v>
      </c>
      <c r="I445" s="14">
        <v>2491</v>
      </c>
      <c r="J445" s="14" t="s">
        <v>26</v>
      </c>
      <c r="K445" s="17">
        <v>43597</v>
      </c>
      <c r="L445" s="17">
        <v>43640</v>
      </c>
      <c r="M445" s="18">
        <f t="shared" si="19"/>
        <v>44</v>
      </c>
      <c r="N445" s="11">
        <f t="shared" si="1"/>
        <v>44</v>
      </c>
      <c r="O445" s="15" t="s">
        <v>296</v>
      </c>
      <c r="P445" s="15" t="s">
        <v>292</v>
      </c>
    </row>
    <row r="446" spans="1:16" ht="15.75" hidden="1" customHeight="1" x14ac:dyDescent="0.2">
      <c r="A446" s="14" t="s">
        <v>295</v>
      </c>
      <c r="B446" s="7" t="s">
        <v>280</v>
      </c>
      <c r="C446" s="14" t="s">
        <v>281</v>
      </c>
      <c r="D446" s="15" t="s">
        <v>293</v>
      </c>
      <c r="E446" s="16">
        <v>284225.40999999997</v>
      </c>
      <c r="F446" s="16">
        <v>1008377.81</v>
      </c>
      <c r="G446" s="16">
        <v>9.1170399999999994</v>
      </c>
      <c r="H446" s="16">
        <v>-82.963390000000004</v>
      </c>
      <c r="I446" s="14">
        <v>2474</v>
      </c>
      <c r="J446" s="14" t="s">
        <v>26</v>
      </c>
      <c r="K446" s="17">
        <v>43598</v>
      </c>
      <c r="L446" s="17">
        <v>43641</v>
      </c>
      <c r="M446" s="18">
        <f t="shared" si="19"/>
        <v>44</v>
      </c>
      <c r="N446" s="11">
        <f t="shared" si="1"/>
        <v>44</v>
      </c>
      <c r="O446" s="15" t="s">
        <v>296</v>
      </c>
      <c r="P446" s="15" t="s">
        <v>293</v>
      </c>
    </row>
    <row r="447" spans="1:16" ht="15.75" hidden="1" customHeight="1" x14ac:dyDescent="0.2">
      <c r="A447" s="7" t="s">
        <v>132</v>
      </c>
      <c r="B447" s="7" t="s">
        <v>280</v>
      </c>
      <c r="C447" s="7" t="s">
        <v>281</v>
      </c>
      <c r="D447" s="8" t="s">
        <v>282</v>
      </c>
      <c r="E447" s="9">
        <v>281525</v>
      </c>
      <c r="F447" s="9">
        <v>1001404</v>
      </c>
      <c r="G447" s="9">
        <v>9.0538699999999999</v>
      </c>
      <c r="H447" s="9">
        <v>-82.9876</v>
      </c>
      <c r="I447" s="7">
        <v>2119</v>
      </c>
      <c r="J447" s="7" t="s">
        <v>26</v>
      </c>
      <c r="K447" s="10">
        <v>43074</v>
      </c>
      <c r="L447" s="10">
        <v>43250</v>
      </c>
      <c r="M447" s="11">
        <f t="shared" si="19"/>
        <v>177</v>
      </c>
      <c r="N447" s="11">
        <f t="shared" si="1"/>
        <v>177</v>
      </c>
      <c r="O447" s="8"/>
      <c r="P447" s="8" t="s">
        <v>282</v>
      </c>
    </row>
    <row r="448" spans="1:16" ht="15.75" hidden="1" customHeight="1" x14ac:dyDescent="0.2">
      <c r="A448" s="7" t="s">
        <v>132</v>
      </c>
      <c r="B448" s="7" t="s">
        <v>280</v>
      </c>
      <c r="C448" s="7" t="s">
        <v>281</v>
      </c>
      <c r="D448" s="8" t="s">
        <v>283</v>
      </c>
      <c r="E448" s="9">
        <v>281951</v>
      </c>
      <c r="F448" s="9">
        <v>1002330</v>
      </c>
      <c r="G448" s="9">
        <v>9.0622600000000002</v>
      </c>
      <c r="H448" s="9">
        <v>-82.983779999999996</v>
      </c>
      <c r="I448" s="7">
        <v>2086</v>
      </c>
      <c r="J448" s="7" t="s">
        <v>26</v>
      </c>
      <c r="K448" s="10">
        <v>43074</v>
      </c>
      <c r="L448" s="10">
        <v>43133</v>
      </c>
      <c r="M448" s="11">
        <f t="shared" si="19"/>
        <v>60</v>
      </c>
      <c r="N448" s="11">
        <f t="shared" si="1"/>
        <v>60</v>
      </c>
      <c r="O448" s="8"/>
      <c r="P448" s="8" t="s">
        <v>283</v>
      </c>
    </row>
    <row r="449" spans="1:16" ht="15.75" hidden="1" customHeight="1" x14ac:dyDescent="0.2">
      <c r="A449" s="7" t="s">
        <v>132</v>
      </c>
      <c r="B449" s="7" t="s">
        <v>280</v>
      </c>
      <c r="C449" s="7" t="s">
        <v>281</v>
      </c>
      <c r="D449" s="8" t="s">
        <v>284</v>
      </c>
      <c r="E449" s="9">
        <v>282466</v>
      </c>
      <c r="F449" s="9">
        <v>1003225</v>
      </c>
      <c r="G449" s="9">
        <v>9.0703700000000005</v>
      </c>
      <c r="H449" s="9">
        <v>-82.979140000000001</v>
      </c>
      <c r="I449" s="7">
        <v>2267</v>
      </c>
      <c r="J449" s="7" t="s">
        <v>26</v>
      </c>
      <c r="K449" s="10">
        <v>43074</v>
      </c>
      <c r="L449" s="10">
        <v>43135</v>
      </c>
      <c r="M449" s="11">
        <f t="shared" si="19"/>
        <v>62</v>
      </c>
      <c r="N449" s="11">
        <f t="shared" si="1"/>
        <v>62</v>
      </c>
      <c r="O449" s="8"/>
      <c r="P449" s="8" t="s">
        <v>284</v>
      </c>
    </row>
    <row r="450" spans="1:16" ht="15.75" hidden="1" customHeight="1" x14ac:dyDescent="0.2">
      <c r="A450" s="7" t="s">
        <v>132</v>
      </c>
      <c r="B450" s="7" t="s">
        <v>280</v>
      </c>
      <c r="C450" s="7" t="s">
        <v>281</v>
      </c>
      <c r="D450" s="8" t="s">
        <v>285</v>
      </c>
      <c r="E450" s="9">
        <v>282751</v>
      </c>
      <c r="F450" s="9">
        <v>1004271</v>
      </c>
      <c r="G450" s="9">
        <v>9.0798400000000008</v>
      </c>
      <c r="H450" s="9">
        <v>-82.976600000000005</v>
      </c>
      <c r="I450" s="7">
        <v>2302</v>
      </c>
      <c r="J450" s="7" t="s">
        <v>26</v>
      </c>
      <c r="K450" s="10">
        <v>43074</v>
      </c>
      <c r="L450" s="10">
        <v>43133</v>
      </c>
      <c r="M450" s="11">
        <f t="shared" si="19"/>
        <v>60</v>
      </c>
      <c r="N450" s="11">
        <f t="shared" si="1"/>
        <v>60</v>
      </c>
      <c r="O450" s="8"/>
      <c r="P450" s="8" t="s">
        <v>285</v>
      </c>
    </row>
    <row r="451" spans="1:16" ht="15.75" hidden="1" customHeight="1" x14ac:dyDescent="0.2">
      <c r="A451" s="7" t="s">
        <v>132</v>
      </c>
      <c r="B451" s="7" t="s">
        <v>280</v>
      </c>
      <c r="C451" s="7" t="s">
        <v>281</v>
      </c>
      <c r="D451" s="8" t="s">
        <v>286</v>
      </c>
      <c r="E451" s="9">
        <v>282616</v>
      </c>
      <c r="F451" s="9">
        <v>1004968</v>
      </c>
      <c r="G451" s="9">
        <v>9.0861400000000003</v>
      </c>
      <c r="H451" s="9">
        <v>-82.977860000000007</v>
      </c>
      <c r="I451" s="7"/>
      <c r="J451" s="7" t="s">
        <v>26</v>
      </c>
      <c r="K451" s="10">
        <v>43074</v>
      </c>
      <c r="L451" s="10">
        <v>43250</v>
      </c>
      <c r="M451" s="11">
        <f t="shared" si="19"/>
        <v>177</v>
      </c>
      <c r="N451" s="11">
        <f t="shared" si="1"/>
        <v>177</v>
      </c>
      <c r="O451" s="8"/>
      <c r="P451" s="8" t="s">
        <v>286</v>
      </c>
    </row>
    <row r="452" spans="1:16" ht="15.75" hidden="1" customHeight="1" x14ac:dyDescent="0.2">
      <c r="A452" s="7" t="s">
        <v>186</v>
      </c>
      <c r="B452" s="7" t="s">
        <v>280</v>
      </c>
      <c r="C452" s="7" t="s">
        <v>281</v>
      </c>
      <c r="D452" s="8" t="s">
        <v>286</v>
      </c>
      <c r="E452" s="9">
        <v>280769</v>
      </c>
      <c r="F452" s="9">
        <v>571613</v>
      </c>
      <c r="G452" s="9">
        <v>9.0861099999999997</v>
      </c>
      <c r="H452" s="9">
        <v>-82.977779999999996</v>
      </c>
      <c r="I452" s="7">
        <v>2469</v>
      </c>
      <c r="J452" s="7" t="s">
        <v>26</v>
      </c>
      <c r="K452" s="10">
        <v>42885</v>
      </c>
      <c r="L452" s="10">
        <v>42999</v>
      </c>
      <c r="M452" s="11">
        <v>92</v>
      </c>
      <c r="N452" s="11">
        <f t="shared" si="1"/>
        <v>115</v>
      </c>
      <c r="O452" s="8"/>
      <c r="P452" s="8" t="s">
        <v>286</v>
      </c>
    </row>
    <row r="453" spans="1:16" ht="15.75" hidden="1" customHeight="1" x14ac:dyDescent="0.2">
      <c r="A453" s="7" t="s">
        <v>186</v>
      </c>
      <c r="B453" s="7" t="s">
        <v>280</v>
      </c>
      <c r="C453" s="7" t="s">
        <v>281</v>
      </c>
      <c r="D453" s="8" t="s">
        <v>282</v>
      </c>
      <c r="E453" s="9">
        <v>281525</v>
      </c>
      <c r="F453" s="9">
        <v>1001404</v>
      </c>
      <c r="G453" s="9">
        <v>9.0538699999999999</v>
      </c>
      <c r="H453" s="9">
        <v>-82.9876</v>
      </c>
      <c r="I453" s="7">
        <v>2119</v>
      </c>
      <c r="J453" s="7" t="s">
        <v>26</v>
      </c>
      <c r="K453" s="10">
        <v>42885</v>
      </c>
      <c r="L453" s="10">
        <v>42999</v>
      </c>
      <c r="M453" s="11">
        <f t="shared" ref="M453:M528" si="20">IF(ISBLANK(K453),0,IF(ISBLANK(L453),0,L453-K453+1))</f>
        <v>115</v>
      </c>
      <c r="N453" s="11">
        <f t="shared" si="1"/>
        <v>115</v>
      </c>
      <c r="O453" s="8"/>
      <c r="P453" s="8" t="s">
        <v>282</v>
      </c>
    </row>
    <row r="454" spans="1:16" ht="15.75" hidden="1" customHeight="1" x14ac:dyDescent="0.2">
      <c r="A454" s="7" t="s">
        <v>186</v>
      </c>
      <c r="B454" s="7" t="s">
        <v>280</v>
      </c>
      <c r="C454" s="7" t="s">
        <v>281</v>
      </c>
      <c r="D454" s="8" t="s">
        <v>283</v>
      </c>
      <c r="E454" s="9">
        <v>281951</v>
      </c>
      <c r="F454" s="9">
        <v>1002330</v>
      </c>
      <c r="G454" s="9">
        <v>9.0622600000000002</v>
      </c>
      <c r="H454" s="9">
        <v>-82.983779999999996</v>
      </c>
      <c r="I454" s="7">
        <v>2086</v>
      </c>
      <c r="J454" s="7" t="s">
        <v>26</v>
      </c>
      <c r="K454" s="10">
        <v>42885</v>
      </c>
      <c r="L454" s="10">
        <v>42999</v>
      </c>
      <c r="M454" s="11">
        <f t="shared" si="20"/>
        <v>115</v>
      </c>
      <c r="N454" s="11">
        <f t="shared" si="1"/>
        <v>115</v>
      </c>
      <c r="O454" s="8"/>
      <c r="P454" s="8" t="s">
        <v>283</v>
      </c>
    </row>
    <row r="455" spans="1:16" ht="15.75" hidden="1" customHeight="1" x14ac:dyDescent="0.2">
      <c r="A455" s="7" t="s">
        <v>186</v>
      </c>
      <c r="B455" s="7" t="s">
        <v>280</v>
      </c>
      <c r="C455" s="7" t="s">
        <v>281</v>
      </c>
      <c r="D455" s="8" t="s">
        <v>284</v>
      </c>
      <c r="E455" s="9">
        <v>282466</v>
      </c>
      <c r="F455" s="9">
        <v>1003225</v>
      </c>
      <c r="G455" s="9">
        <v>9.0703700000000005</v>
      </c>
      <c r="H455" s="9">
        <v>-82.979140000000001</v>
      </c>
      <c r="I455" s="7">
        <v>2267</v>
      </c>
      <c r="J455" s="7" t="s">
        <v>26</v>
      </c>
      <c r="K455" s="10">
        <v>42885</v>
      </c>
      <c r="L455" s="10">
        <v>42999</v>
      </c>
      <c r="M455" s="11">
        <f t="shared" si="20"/>
        <v>115</v>
      </c>
      <c r="N455" s="11">
        <f t="shared" si="1"/>
        <v>115</v>
      </c>
      <c r="O455" s="8"/>
      <c r="P455" s="8" t="s">
        <v>284</v>
      </c>
    </row>
    <row r="456" spans="1:16" ht="15.75" hidden="1" customHeight="1" x14ac:dyDescent="0.2">
      <c r="A456" s="7" t="s">
        <v>186</v>
      </c>
      <c r="B456" s="7" t="s">
        <v>280</v>
      </c>
      <c r="C456" s="7" t="s">
        <v>281</v>
      </c>
      <c r="D456" s="8" t="s">
        <v>285</v>
      </c>
      <c r="E456" s="9">
        <v>282751</v>
      </c>
      <c r="F456" s="9">
        <v>1004271</v>
      </c>
      <c r="G456" s="9">
        <v>9.0798400000000008</v>
      </c>
      <c r="H456" s="9">
        <v>-82.976600000000005</v>
      </c>
      <c r="I456" s="7">
        <v>2302</v>
      </c>
      <c r="J456" s="7" t="s">
        <v>26</v>
      </c>
      <c r="K456" s="10">
        <v>42885</v>
      </c>
      <c r="L456" s="10">
        <v>42999</v>
      </c>
      <c r="M456" s="11">
        <f t="shared" si="20"/>
        <v>115</v>
      </c>
      <c r="N456" s="11">
        <f t="shared" si="1"/>
        <v>115</v>
      </c>
      <c r="O456" s="8"/>
      <c r="P456" s="8" t="s">
        <v>285</v>
      </c>
    </row>
    <row r="457" spans="1:16" ht="15.75" hidden="1" customHeight="1" x14ac:dyDescent="0.2">
      <c r="A457" s="7" t="s">
        <v>297</v>
      </c>
      <c r="B457" s="7" t="s">
        <v>280</v>
      </c>
      <c r="C457" s="7" t="s">
        <v>281</v>
      </c>
      <c r="D457" s="8" t="s">
        <v>282</v>
      </c>
      <c r="E457" s="9">
        <v>281525</v>
      </c>
      <c r="F457" s="9">
        <v>1001404</v>
      </c>
      <c r="G457" s="9">
        <v>9.0538699999999999</v>
      </c>
      <c r="H457" s="9">
        <v>-82.9876</v>
      </c>
      <c r="I457" s="7">
        <v>2119</v>
      </c>
      <c r="J457" s="7" t="s">
        <v>26</v>
      </c>
      <c r="K457" s="10">
        <v>43251</v>
      </c>
      <c r="L457" s="10">
        <v>43367</v>
      </c>
      <c r="M457" s="11">
        <f t="shared" si="20"/>
        <v>117</v>
      </c>
      <c r="N457" s="11">
        <f t="shared" si="1"/>
        <v>117</v>
      </c>
      <c r="O457" s="8"/>
      <c r="P457" s="8" t="s">
        <v>282</v>
      </c>
    </row>
    <row r="458" spans="1:16" ht="15.75" hidden="1" customHeight="1" x14ac:dyDescent="0.2">
      <c r="A458" s="7" t="s">
        <v>297</v>
      </c>
      <c r="B458" s="7" t="s">
        <v>280</v>
      </c>
      <c r="C458" s="7" t="s">
        <v>281</v>
      </c>
      <c r="D458" s="8" t="s">
        <v>283</v>
      </c>
      <c r="E458" s="9">
        <v>281951</v>
      </c>
      <c r="F458" s="9">
        <v>1002330</v>
      </c>
      <c r="G458" s="9">
        <v>9.0622600000000002</v>
      </c>
      <c r="H458" s="9">
        <v>-82.983779999999996</v>
      </c>
      <c r="I458" s="7">
        <v>2086</v>
      </c>
      <c r="J458" s="7" t="s">
        <v>26</v>
      </c>
      <c r="K458" s="10">
        <v>43250</v>
      </c>
      <c r="L458" s="10">
        <v>43367</v>
      </c>
      <c r="M458" s="11">
        <f t="shared" si="20"/>
        <v>118</v>
      </c>
      <c r="N458" s="11">
        <f t="shared" si="1"/>
        <v>118</v>
      </c>
      <c r="O458" s="8"/>
      <c r="P458" s="8" t="s">
        <v>283</v>
      </c>
    </row>
    <row r="459" spans="1:16" ht="15.75" hidden="1" customHeight="1" x14ac:dyDescent="0.2">
      <c r="A459" s="7" t="s">
        <v>297</v>
      </c>
      <c r="B459" s="7" t="s">
        <v>280</v>
      </c>
      <c r="C459" s="7" t="s">
        <v>281</v>
      </c>
      <c r="D459" s="8" t="s">
        <v>284</v>
      </c>
      <c r="E459" s="9">
        <v>282466</v>
      </c>
      <c r="F459" s="9">
        <v>1003225</v>
      </c>
      <c r="G459" s="9">
        <v>9.0703700000000005</v>
      </c>
      <c r="H459" s="9">
        <v>-82.979140000000001</v>
      </c>
      <c r="I459" s="7">
        <v>2267</v>
      </c>
      <c r="J459" s="7" t="s">
        <v>26</v>
      </c>
      <c r="K459" s="10">
        <v>43250</v>
      </c>
      <c r="L459" s="10">
        <v>43367</v>
      </c>
      <c r="M459" s="11">
        <f t="shared" si="20"/>
        <v>118</v>
      </c>
      <c r="N459" s="11">
        <f t="shared" si="1"/>
        <v>118</v>
      </c>
      <c r="O459" s="8"/>
      <c r="P459" s="8" t="s">
        <v>284</v>
      </c>
    </row>
    <row r="460" spans="1:16" ht="15.75" hidden="1" customHeight="1" x14ac:dyDescent="0.2">
      <c r="A460" s="7" t="s">
        <v>297</v>
      </c>
      <c r="B460" s="7" t="s">
        <v>280</v>
      </c>
      <c r="C460" s="7" t="s">
        <v>281</v>
      </c>
      <c r="D460" s="8" t="s">
        <v>285</v>
      </c>
      <c r="E460" s="9">
        <v>282751</v>
      </c>
      <c r="F460" s="9">
        <v>1004271</v>
      </c>
      <c r="G460" s="9">
        <v>9.0798400000000008</v>
      </c>
      <c r="H460" s="9">
        <v>-82.976600000000005</v>
      </c>
      <c r="I460" s="7">
        <v>2302</v>
      </c>
      <c r="J460" s="7" t="s">
        <v>26</v>
      </c>
      <c r="K460" s="10">
        <v>43250</v>
      </c>
      <c r="L460" s="10">
        <v>43367</v>
      </c>
      <c r="M460" s="11">
        <f t="shared" si="20"/>
        <v>118</v>
      </c>
      <c r="N460" s="11">
        <f t="shared" si="1"/>
        <v>118</v>
      </c>
      <c r="O460" s="8"/>
      <c r="P460" s="8" t="s">
        <v>285</v>
      </c>
    </row>
    <row r="461" spans="1:16" ht="15.75" hidden="1" customHeight="1" x14ac:dyDescent="0.2">
      <c r="A461" s="7" t="s">
        <v>297</v>
      </c>
      <c r="B461" s="7" t="s">
        <v>280</v>
      </c>
      <c r="C461" s="7" t="s">
        <v>281</v>
      </c>
      <c r="D461" s="8" t="s">
        <v>286</v>
      </c>
      <c r="E461" s="9">
        <v>282616</v>
      </c>
      <c r="F461" s="9">
        <v>1004968</v>
      </c>
      <c r="G461" s="9">
        <v>9.0861400000000003</v>
      </c>
      <c r="H461" s="9">
        <v>-82.977860000000007</v>
      </c>
      <c r="I461" s="7">
        <v>2486</v>
      </c>
      <c r="J461" s="7" t="s">
        <v>26</v>
      </c>
      <c r="K461" s="10">
        <v>43251</v>
      </c>
      <c r="L461" s="10">
        <v>43367</v>
      </c>
      <c r="M461" s="11">
        <f t="shared" si="20"/>
        <v>117</v>
      </c>
      <c r="N461" s="11">
        <f t="shared" si="1"/>
        <v>117</v>
      </c>
      <c r="O461" s="8"/>
      <c r="P461" s="8" t="s">
        <v>286</v>
      </c>
    </row>
    <row r="462" spans="1:16" ht="15.75" hidden="1" customHeight="1" x14ac:dyDescent="0.2">
      <c r="A462" s="7" t="s">
        <v>297</v>
      </c>
      <c r="B462" s="7" t="s">
        <v>280</v>
      </c>
      <c r="C462" s="7" t="s">
        <v>281</v>
      </c>
      <c r="D462" s="8" t="s">
        <v>289</v>
      </c>
      <c r="E462" s="9">
        <v>282788.58</v>
      </c>
      <c r="F462" s="9">
        <v>1005988.42</v>
      </c>
      <c r="G462" s="9">
        <v>9.0953700000000008</v>
      </c>
      <c r="H462" s="9">
        <v>-82.976339999999993</v>
      </c>
      <c r="I462" s="7">
        <v>2555</v>
      </c>
      <c r="J462" s="7" t="s">
        <v>26</v>
      </c>
      <c r="K462" s="10">
        <v>43290</v>
      </c>
      <c r="L462" s="10">
        <v>43367</v>
      </c>
      <c r="M462" s="11">
        <f t="shared" si="20"/>
        <v>78</v>
      </c>
      <c r="N462" s="11">
        <f t="shared" si="1"/>
        <v>78</v>
      </c>
      <c r="O462" s="8"/>
      <c r="P462" s="8" t="s">
        <v>289</v>
      </c>
    </row>
    <row r="463" spans="1:16" ht="15.75" hidden="1" customHeight="1" x14ac:dyDescent="0.2">
      <c r="A463" s="7" t="s">
        <v>297</v>
      </c>
      <c r="B463" s="7" t="s">
        <v>280</v>
      </c>
      <c r="C463" s="7" t="s">
        <v>281</v>
      </c>
      <c r="D463" s="8" t="s">
        <v>290</v>
      </c>
      <c r="E463" s="9">
        <v>283239.52</v>
      </c>
      <c r="F463" s="9">
        <v>1006618.73</v>
      </c>
      <c r="G463" s="9">
        <v>9.1010899999999992</v>
      </c>
      <c r="H463" s="9">
        <v>-82.972269999999995</v>
      </c>
      <c r="I463" s="7">
        <v>2516</v>
      </c>
      <c r="J463" s="7" t="s">
        <v>26</v>
      </c>
      <c r="K463" s="10">
        <v>43290</v>
      </c>
      <c r="L463" s="10">
        <v>43367</v>
      </c>
      <c r="M463" s="11">
        <f t="shared" si="20"/>
        <v>78</v>
      </c>
      <c r="N463" s="11">
        <f t="shared" si="1"/>
        <v>78</v>
      </c>
      <c r="O463" s="8"/>
      <c r="P463" s="8" t="s">
        <v>290</v>
      </c>
    </row>
    <row r="464" spans="1:16" ht="15.75" hidden="1" customHeight="1" x14ac:dyDescent="0.2">
      <c r="A464" s="7" t="s">
        <v>297</v>
      </c>
      <c r="B464" s="7" t="s">
        <v>280</v>
      </c>
      <c r="C464" s="7" t="s">
        <v>281</v>
      </c>
      <c r="D464" s="8" t="s">
        <v>291</v>
      </c>
      <c r="E464" s="9">
        <v>283741.14</v>
      </c>
      <c r="F464" s="9">
        <v>1006665.78</v>
      </c>
      <c r="G464" s="9">
        <v>9.10154</v>
      </c>
      <c r="H464" s="9">
        <v>-82.967709999999997</v>
      </c>
      <c r="I464" s="7">
        <v>2524</v>
      </c>
      <c r="J464" s="7" t="s">
        <v>26</v>
      </c>
      <c r="K464" s="10">
        <v>43290</v>
      </c>
      <c r="L464" s="10">
        <v>43367</v>
      </c>
      <c r="M464" s="11">
        <f t="shared" si="20"/>
        <v>78</v>
      </c>
      <c r="N464" s="11">
        <f t="shared" si="1"/>
        <v>78</v>
      </c>
      <c r="O464" s="8"/>
      <c r="P464" s="8" t="s">
        <v>291</v>
      </c>
    </row>
    <row r="465" spans="1:16" ht="15.75" hidden="1" customHeight="1" x14ac:dyDescent="0.2">
      <c r="A465" s="19" t="s">
        <v>297</v>
      </c>
      <c r="B465" s="7" t="s">
        <v>280</v>
      </c>
      <c r="C465" s="19" t="s">
        <v>281</v>
      </c>
      <c r="D465" s="8" t="s">
        <v>292</v>
      </c>
      <c r="E465" s="9">
        <v>284323.02</v>
      </c>
      <c r="F465" s="9">
        <v>1007523.27</v>
      </c>
      <c r="G465" s="9">
        <v>9.1093200000000003</v>
      </c>
      <c r="H465" s="9">
        <v>-82.962459999999993</v>
      </c>
      <c r="I465" s="19">
        <v>2491</v>
      </c>
      <c r="J465" s="19" t="s">
        <v>26</v>
      </c>
      <c r="K465" s="10">
        <v>43290</v>
      </c>
      <c r="L465" s="10">
        <v>43367</v>
      </c>
      <c r="M465" s="11">
        <f t="shared" si="20"/>
        <v>78</v>
      </c>
      <c r="N465" s="11">
        <f t="shared" si="1"/>
        <v>78</v>
      </c>
      <c r="O465" s="8"/>
      <c r="P465" s="8" t="s">
        <v>292</v>
      </c>
    </row>
    <row r="466" spans="1:16" ht="15.75" hidden="1" customHeight="1" x14ac:dyDescent="0.2">
      <c r="A466" s="19" t="s">
        <v>297</v>
      </c>
      <c r="B466" s="7" t="s">
        <v>280</v>
      </c>
      <c r="C466" s="19" t="s">
        <v>281</v>
      </c>
      <c r="D466" s="8" t="s">
        <v>293</v>
      </c>
      <c r="E466" s="9">
        <v>284225.40999999997</v>
      </c>
      <c r="F466" s="9">
        <v>1008377.81</v>
      </c>
      <c r="G466" s="9">
        <v>9.1170399999999994</v>
      </c>
      <c r="H466" s="9">
        <v>-82.963390000000004</v>
      </c>
      <c r="I466" s="19">
        <v>2474</v>
      </c>
      <c r="J466" s="19" t="s">
        <v>26</v>
      </c>
      <c r="K466" s="10">
        <v>43291</v>
      </c>
      <c r="L466" s="10">
        <v>43368</v>
      </c>
      <c r="M466" s="11">
        <f t="shared" si="20"/>
        <v>78</v>
      </c>
      <c r="N466" s="11">
        <f t="shared" si="1"/>
        <v>78</v>
      </c>
      <c r="O466" s="8"/>
      <c r="P466" s="8" t="s">
        <v>293</v>
      </c>
    </row>
    <row r="467" spans="1:16" ht="15.75" hidden="1" customHeight="1" x14ac:dyDescent="0.2">
      <c r="A467" s="19" t="s">
        <v>36</v>
      </c>
      <c r="B467" s="19" t="s">
        <v>298</v>
      </c>
      <c r="C467" s="19" t="s">
        <v>85</v>
      </c>
      <c r="D467" s="8" t="s">
        <v>299</v>
      </c>
      <c r="E467" s="9">
        <v>763607</v>
      </c>
      <c r="F467" s="9">
        <v>1083703</v>
      </c>
      <c r="G467" s="9">
        <v>9.7983499999999992</v>
      </c>
      <c r="H467" s="9">
        <v>-84.597916999999995</v>
      </c>
      <c r="I467" s="19">
        <v>28</v>
      </c>
      <c r="J467" s="19" t="s">
        <v>26</v>
      </c>
      <c r="K467" s="10">
        <v>41909</v>
      </c>
      <c r="L467" s="10">
        <v>41960</v>
      </c>
      <c r="M467" s="11">
        <f t="shared" si="20"/>
        <v>52</v>
      </c>
      <c r="N467" s="11">
        <f t="shared" si="1"/>
        <v>52</v>
      </c>
      <c r="O467" s="8"/>
      <c r="P467" s="8" t="s">
        <v>299</v>
      </c>
    </row>
    <row r="468" spans="1:16" ht="15.75" hidden="1" customHeight="1" x14ac:dyDescent="0.2">
      <c r="A468" s="19" t="s">
        <v>36</v>
      </c>
      <c r="B468" s="19" t="s">
        <v>298</v>
      </c>
      <c r="C468" s="19" t="s">
        <v>85</v>
      </c>
      <c r="D468" s="8" t="s">
        <v>300</v>
      </c>
      <c r="E468" s="9">
        <v>763598</v>
      </c>
      <c r="F468" s="9">
        <v>1083725</v>
      </c>
      <c r="G468" s="9">
        <v>9.7753169999999994</v>
      </c>
      <c r="H468" s="9">
        <v>-84.601016999999999</v>
      </c>
      <c r="I468" s="19">
        <v>62</v>
      </c>
      <c r="J468" s="19" t="s">
        <v>26</v>
      </c>
      <c r="K468" s="10">
        <v>41908</v>
      </c>
      <c r="L468" s="10">
        <v>41969</v>
      </c>
      <c r="M468" s="11">
        <f t="shared" si="20"/>
        <v>62</v>
      </c>
      <c r="N468" s="11">
        <f t="shared" si="1"/>
        <v>62</v>
      </c>
      <c r="O468" s="8"/>
      <c r="P468" s="8" t="s">
        <v>300</v>
      </c>
    </row>
    <row r="469" spans="1:16" ht="15.75" hidden="1" customHeight="1" x14ac:dyDescent="0.2">
      <c r="A469" s="19" t="s">
        <v>36</v>
      </c>
      <c r="B469" s="19" t="s">
        <v>298</v>
      </c>
      <c r="C469" s="19" t="s">
        <v>85</v>
      </c>
      <c r="D469" s="8" t="s">
        <v>301</v>
      </c>
      <c r="E469" s="9">
        <v>763572</v>
      </c>
      <c r="F469" s="9">
        <v>1083669</v>
      </c>
      <c r="G469" s="9">
        <v>9.7744499999999999</v>
      </c>
      <c r="H469" s="9">
        <v>-84.601917</v>
      </c>
      <c r="I469" s="19">
        <v>64</v>
      </c>
      <c r="J469" s="19" t="s">
        <v>26</v>
      </c>
      <c r="K469" s="10">
        <v>41908</v>
      </c>
      <c r="L469" s="10">
        <v>41919</v>
      </c>
      <c r="M469" s="11">
        <f t="shared" si="20"/>
        <v>12</v>
      </c>
      <c r="N469" s="11">
        <f t="shared" si="1"/>
        <v>12</v>
      </c>
      <c r="O469" s="8"/>
      <c r="P469" s="8" t="s">
        <v>301</v>
      </c>
    </row>
    <row r="470" spans="1:16" ht="15.75" hidden="1" customHeight="1" x14ac:dyDescent="0.2">
      <c r="A470" s="14" t="s">
        <v>302</v>
      </c>
      <c r="B470" s="14" t="s">
        <v>298</v>
      </c>
      <c r="C470" s="14" t="s">
        <v>85</v>
      </c>
      <c r="D470" s="14" t="s">
        <v>303</v>
      </c>
      <c r="E470" s="16">
        <v>763637</v>
      </c>
      <c r="F470" s="16">
        <v>1083718</v>
      </c>
      <c r="G470" s="16">
        <v>9.7982999999999993</v>
      </c>
      <c r="H470" s="14">
        <v>-84.596900000000005</v>
      </c>
      <c r="I470" s="16">
        <v>23</v>
      </c>
      <c r="J470" s="14" t="s">
        <v>26</v>
      </c>
      <c r="K470" s="17">
        <v>42915</v>
      </c>
      <c r="L470" s="17">
        <v>42928</v>
      </c>
      <c r="M470" s="18">
        <f t="shared" si="20"/>
        <v>14</v>
      </c>
      <c r="N470" s="11">
        <f t="shared" si="1"/>
        <v>14</v>
      </c>
      <c r="O470" s="15" t="s">
        <v>304</v>
      </c>
      <c r="P470" s="14" t="s">
        <v>303</v>
      </c>
    </row>
    <row r="471" spans="1:16" ht="15" hidden="1" customHeight="1" x14ac:dyDescent="0.2">
      <c r="A471" s="14" t="s">
        <v>302</v>
      </c>
      <c r="B471" s="14" t="s">
        <v>298</v>
      </c>
      <c r="C471" s="14" t="s">
        <v>85</v>
      </c>
      <c r="D471" s="14" t="s">
        <v>303</v>
      </c>
      <c r="E471" s="16">
        <v>763637</v>
      </c>
      <c r="F471" s="16">
        <v>1083718</v>
      </c>
      <c r="G471" s="16">
        <v>9.7982999999999993</v>
      </c>
      <c r="H471" s="14">
        <v>-84.596900000000005</v>
      </c>
      <c r="I471" s="16">
        <v>23</v>
      </c>
      <c r="J471" s="14" t="s">
        <v>26</v>
      </c>
      <c r="K471" s="17">
        <v>42942</v>
      </c>
      <c r="L471" s="17">
        <v>42960</v>
      </c>
      <c r="M471" s="18">
        <f t="shared" si="20"/>
        <v>19</v>
      </c>
      <c r="N471" s="11">
        <f t="shared" si="1"/>
        <v>19</v>
      </c>
      <c r="O471" s="15" t="s">
        <v>305</v>
      </c>
      <c r="P471" s="14" t="s">
        <v>303</v>
      </c>
    </row>
    <row r="472" spans="1:16" ht="15" hidden="1" customHeight="1" x14ac:dyDescent="0.2">
      <c r="A472" s="14" t="s">
        <v>302</v>
      </c>
      <c r="B472" s="14" t="s">
        <v>298</v>
      </c>
      <c r="C472" s="14" t="s">
        <v>85</v>
      </c>
      <c r="D472" s="14" t="s">
        <v>303</v>
      </c>
      <c r="E472" s="16">
        <v>763637</v>
      </c>
      <c r="F472" s="16">
        <v>1083718</v>
      </c>
      <c r="G472" s="16">
        <v>9.7982999999999993</v>
      </c>
      <c r="H472" s="14">
        <v>-84.596900000000005</v>
      </c>
      <c r="I472" s="16">
        <v>23</v>
      </c>
      <c r="J472" s="14" t="s">
        <v>26</v>
      </c>
      <c r="K472" s="17">
        <v>42887</v>
      </c>
      <c r="L472" s="17">
        <v>42900</v>
      </c>
      <c r="M472" s="18">
        <f t="shared" si="20"/>
        <v>14</v>
      </c>
      <c r="N472" s="11">
        <f t="shared" si="1"/>
        <v>14</v>
      </c>
      <c r="O472" s="15" t="s">
        <v>306</v>
      </c>
      <c r="P472" s="14" t="s">
        <v>303</v>
      </c>
    </row>
    <row r="473" spans="1:16" ht="15.75" hidden="1" customHeight="1" x14ac:dyDescent="0.2">
      <c r="A473" s="14" t="s">
        <v>302</v>
      </c>
      <c r="B473" s="14" t="s">
        <v>298</v>
      </c>
      <c r="C473" s="14" t="s">
        <v>85</v>
      </c>
      <c r="D473" s="14" t="s">
        <v>303</v>
      </c>
      <c r="E473" s="16">
        <v>763637</v>
      </c>
      <c r="F473" s="16">
        <v>1083718</v>
      </c>
      <c r="G473" s="16">
        <v>9.7982999999999993</v>
      </c>
      <c r="H473" s="14">
        <v>-84.596900000000005</v>
      </c>
      <c r="I473" s="16">
        <v>23</v>
      </c>
      <c r="J473" s="14" t="s">
        <v>26</v>
      </c>
      <c r="K473" s="17">
        <v>42928</v>
      </c>
      <c r="L473" s="17">
        <v>42942</v>
      </c>
      <c r="M473" s="18">
        <f t="shared" si="20"/>
        <v>15</v>
      </c>
      <c r="N473" s="11">
        <f t="shared" si="1"/>
        <v>15</v>
      </c>
      <c r="O473" s="15" t="s">
        <v>307</v>
      </c>
      <c r="P473" s="14" t="s">
        <v>303</v>
      </c>
    </row>
    <row r="474" spans="1:16" ht="15.75" hidden="1" customHeight="1" x14ac:dyDescent="0.2">
      <c r="A474" s="14" t="s">
        <v>302</v>
      </c>
      <c r="B474" s="14" t="s">
        <v>298</v>
      </c>
      <c r="C474" s="14" t="s">
        <v>85</v>
      </c>
      <c r="D474" s="14" t="s">
        <v>303</v>
      </c>
      <c r="E474" s="16">
        <v>763637</v>
      </c>
      <c r="F474" s="16">
        <v>1083718</v>
      </c>
      <c r="G474" s="16">
        <v>9.7982999999999993</v>
      </c>
      <c r="H474" s="14">
        <v>-84.596900000000005</v>
      </c>
      <c r="I474" s="16">
        <v>23</v>
      </c>
      <c r="J474" s="14" t="s">
        <v>26</v>
      </c>
      <c r="K474" s="17">
        <v>42900</v>
      </c>
      <c r="L474" s="17">
        <v>42907</v>
      </c>
      <c r="M474" s="18">
        <f t="shared" si="20"/>
        <v>8</v>
      </c>
      <c r="N474" s="11">
        <f t="shared" si="1"/>
        <v>8</v>
      </c>
      <c r="O474" s="15" t="s">
        <v>308</v>
      </c>
      <c r="P474" s="14" t="s">
        <v>303</v>
      </c>
    </row>
    <row r="475" spans="1:16" ht="15.75" hidden="1" customHeight="1" x14ac:dyDescent="0.2">
      <c r="A475" s="14" t="s">
        <v>302</v>
      </c>
      <c r="B475" s="14" t="s">
        <v>298</v>
      </c>
      <c r="C475" s="14" t="s">
        <v>85</v>
      </c>
      <c r="D475" s="15" t="s">
        <v>299</v>
      </c>
      <c r="E475" s="16">
        <v>763607</v>
      </c>
      <c r="F475" s="16">
        <v>1083703</v>
      </c>
      <c r="G475" s="16">
        <v>9.7983499999999992</v>
      </c>
      <c r="H475" s="16">
        <v>-84.597916999999995</v>
      </c>
      <c r="I475" s="14">
        <v>20</v>
      </c>
      <c r="J475" s="14" t="s">
        <v>26</v>
      </c>
      <c r="K475" s="17">
        <v>42960</v>
      </c>
      <c r="L475" s="17">
        <v>42976</v>
      </c>
      <c r="M475" s="18">
        <f t="shared" si="20"/>
        <v>17</v>
      </c>
      <c r="N475" s="11">
        <f t="shared" si="1"/>
        <v>17</v>
      </c>
      <c r="O475" s="15" t="s">
        <v>309</v>
      </c>
      <c r="P475" s="15" t="s">
        <v>299</v>
      </c>
    </row>
    <row r="476" spans="1:16" ht="15.75" hidden="1" customHeight="1" x14ac:dyDescent="0.2">
      <c r="A476" s="14" t="s">
        <v>302</v>
      </c>
      <c r="B476" s="14" t="s">
        <v>298</v>
      </c>
      <c r="C476" s="14" t="s">
        <v>85</v>
      </c>
      <c r="D476" s="15" t="s">
        <v>299</v>
      </c>
      <c r="E476" s="16">
        <v>763607</v>
      </c>
      <c r="F476" s="16">
        <v>1083703</v>
      </c>
      <c r="G476" s="16">
        <v>9.7983499999999992</v>
      </c>
      <c r="H476" s="16">
        <v>-84.597916999999995</v>
      </c>
      <c r="I476" s="14">
        <v>20</v>
      </c>
      <c r="J476" s="14" t="s">
        <v>26</v>
      </c>
      <c r="K476" s="17">
        <v>42915</v>
      </c>
      <c r="L476" s="17">
        <v>42916</v>
      </c>
      <c r="M476" s="18">
        <f t="shared" si="20"/>
        <v>2</v>
      </c>
      <c r="N476" s="11">
        <f t="shared" si="1"/>
        <v>2</v>
      </c>
      <c r="O476" s="15" t="s">
        <v>310</v>
      </c>
      <c r="P476" s="15" t="s">
        <v>299</v>
      </c>
    </row>
    <row r="477" spans="1:16" ht="15.75" hidden="1" customHeight="1" x14ac:dyDescent="0.2">
      <c r="A477" s="14" t="s">
        <v>302</v>
      </c>
      <c r="B477" s="14" t="s">
        <v>298</v>
      </c>
      <c r="C477" s="14" t="s">
        <v>85</v>
      </c>
      <c r="D477" s="15" t="s">
        <v>299</v>
      </c>
      <c r="E477" s="16">
        <v>763607</v>
      </c>
      <c r="F477" s="16">
        <v>1083703</v>
      </c>
      <c r="G477" s="16">
        <v>9.7983499999999992</v>
      </c>
      <c r="H477" s="16">
        <v>-84.597916999999995</v>
      </c>
      <c r="I477" s="14">
        <v>20</v>
      </c>
      <c r="J477" s="14" t="s">
        <v>26</v>
      </c>
      <c r="K477" s="17">
        <v>42942</v>
      </c>
      <c r="L477" s="17">
        <v>42960</v>
      </c>
      <c r="M477" s="18">
        <f t="shared" si="20"/>
        <v>19</v>
      </c>
      <c r="N477" s="11">
        <f t="shared" si="1"/>
        <v>19</v>
      </c>
      <c r="O477" s="15" t="s">
        <v>311</v>
      </c>
      <c r="P477" s="15" t="s">
        <v>299</v>
      </c>
    </row>
    <row r="478" spans="1:16" ht="15.75" hidden="1" customHeight="1" x14ac:dyDescent="0.2">
      <c r="A478" s="14" t="s">
        <v>302</v>
      </c>
      <c r="B478" s="14" t="s">
        <v>298</v>
      </c>
      <c r="C478" s="14" t="s">
        <v>85</v>
      </c>
      <c r="D478" s="15" t="s">
        <v>299</v>
      </c>
      <c r="E478" s="16">
        <v>763607</v>
      </c>
      <c r="F478" s="16">
        <v>1083703</v>
      </c>
      <c r="G478" s="16">
        <v>9.7983499999999992</v>
      </c>
      <c r="H478" s="16">
        <v>-84.597916999999995</v>
      </c>
      <c r="I478" s="14">
        <v>20</v>
      </c>
      <c r="J478" s="14" t="s">
        <v>26</v>
      </c>
      <c r="K478" s="17">
        <v>42928</v>
      </c>
      <c r="L478" s="17">
        <v>42931</v>
      </c>
      <c r="M478" s="18">
        <f t="shared" si="20"/>
        <v>4</v>
      </c>
      <c r="N478" s="11">
        <f t="shared" si="1"/>
        <v>4</v>
      </c>
      <c r="O478" s="15" t="s">
        <v>312</v>
      </c>
      <c r="P478" s="15" t="s">
        <v>299</v>
      </c>
    </row>
    <row r="479" spans="1:16" ht="15.75" hidden="1" customHeight="1" x14ac:dyDescent="0.2">
      <c r="A479" s="14" t="s">
        <v>302</v>
      </c>
      <c r="B479" s="14" t="s">
        <v>298</v>
      </c>
      <c r="C479" s="14" t="s">
        <v>85</v>
      </c>
      <c r="D479" s="15" t="s">
        <v>299</v>
      </c>
      <c r="E479" s="16">
        <v>763607</v>
      </c>
      <c r="F479" s="16">
        <v>1083703</v>
      </c>
      <c r="G479" s="16">
        <v>9.7983499999999992</v>
      </c>
      <c r="H479" s="16">
        <v>-84.597916999999995</v>
      </c>
      <c r="I479" s="14">
        <v>20</v>
      </c>
      <c r="J479" s="14" t="s">
        <v>26</v>
      </c>
      <c r="K479" s="17">
        <v>42900</v>
      </c>
      <c r="L479" s="17">
        <v>42915</v>
      </c>
      <c r="M479" s="18">
        <f t="shared" si="20"/>
        <v>16</v>
      </c>
      <c r="N479" s="11">
        <f t="shared" si="1"/>
        <v>16</v>
      </c>
      <c r="O479" s="15" t="s">
        <v>313</v>
      </c>
      <c r="P479" s="15" t="s">
        <v>299</v>
      </c>
    </row>
    <row r="480" spans="1:16" ht="15.75" hidden="1" customHeight="1" x14ac:dyDescent="0.2">
      <c r="A480" s="14" t="s">
        <v>302</v>
      </c>
      <c r="B480" s="14" t="s">
        <v>298</v>
      </c>
      <c r="C480" s="14" t="s">
        <v>85</v>
      </c>
      <c r="D480" s="15" t="s">
        <v>300</v>
      </c>
      <c r="E480" s="16">
        <v>763598</v>
      </c>
      <c r="F480" s="16">
        <v>1083725</v>
      </c>
      <c r="G480" s="16">
        <v>9.7753169999999994</v>
      </c>
      <c r="H480" s="16">
        <v>-84.601016999999999</v>
      </c>
      <c r="I480" s="14">
        <v>13</v>
      </c>
      <c r="J480" s="14" t="s">
        <v>26</v>
      </c>
      <c r="K480" s="17">
        <v>42960</v>
      </c>
      <c r="L480" s="17">
        <v>42976</v>
      </c>
      <c r="M480" s="18">
        <f t="shared" si="20"/>
        <v>17</v>
      </c>
      <c r="N480" s="11">
        <f t="shared" si="1"/>
        <v>17</v>
      </c>
      <c r="O480" s="15" t="s">
        <v>314</v>
      </c>
      <c r="P480" s="15" t="s">
        <v>300</v>
      </c>
    </row>
    <row r="481" spans="1:16" ht="15.75" hidden="1" customHeight="1" x14ac:dyDescent="0.2">
      <c r="A481" s="14" t="s">
        <v>302</v>
      </c>
      <c r="B481" s="14" t="s">
        <v>298</v>
      </c>
      <c r="C481" s="14" t="s">
        <v>85</v>
      </c>
      <c r="D481" s="15" t="s">
        <v>300</v>
      </c>
      <c r="E481" s="16">
        <v>763598</v>
      </c>
      <c r="F481" s="16">
        <v>1083725</v>
      </c>
      <c r="G481" s="16">
        <v>9.7753169999999994</v>
      </c>
      <c r="H481" s="16">
        <v>-84.601016999999999</v>
      </c>
      <c r="I481" s="14">
        <v>13</v>
      </c>
      <c r="J481" s="14" t="s">
        <v>26</v>
      </c>
      <c r="K481" s="17">
        <v>42942</v>
      </c>
      <c r="L481" s="17">
        <v>42960</v>
      </c>
      <c r="M481" s="18">
        <f t="shared" si="20"/>
        <v>19</v>
      </c>
      <c r="N481" s="11">
        <f t="shared" si="1"/>
        <v>19</v>
      </c>
      <c r="O481" s="15" t="s">
        <v>315</v>
      </c>
      <c r="P481" s="15" t="s">
        <v>300</v>
      </c>
    </row>
    <row r="482" spans="1:16" ht="15.75" hidden="1" customHeight="1" x14ac:dyDescent="0.2">
      <c r="A482" s="14" t="s">
        <v>302</v>
      </c>
      <c r="B482" s="14" t="s">
        <v>298</v>
      </c>
      <c r="C482" s="14" t="s">
        <v>85</v>
      </c>
      <c r="D482" s="15" t="s">
        <v>300</v>
      </c>
      <c r="E482" s="16">
        <v>763598</v>
      </c>
      <c r="F482" s="16">
        <v>1083725</v>
      </c>
      <c r="G482" s="16">
        <v>9.7753169999999994</v>
      </c>
      <c r="H482" s="16">
        <v>-84.601016999999999</v>
      </c>
      <c r="I482" s="14">
        <v>13</v>
      </c>
      <c r="J482" s="14" t="s">
        <v>26</v>
      </c>
      <c r="K482" s="17">
        <v>42928</v>
      </c>
      <c r="L482" s="17">
        <v>42942</v>
      </c>
      <c r="M482" s="18">
        <f t="shared" si="20"/>
        <v>15</v>
      </c>
      <c r="N482" s="11">
        <f t="shared" si="1"/>
        <v>15</v>
      </c>
      <c r="O482" s="15" t="s">
        <v>316</v>
      </c>
      <c r="P482" s="15" t="s">
        <v>300</v>
      </c>
    </row>
    <row r="483" spans="1:16" ht="15.75" hidden="1" customHeight="1" x14ac:dyDescent="0.2">
      <c r="A483" s="14" t="s">
        <v>302</v>
      </c>
      <c r="B483" s="14" t="s">
        <v>298</v>
      </c>
      <c r="C483" s="14" t="s">
        <v>85</v>
      </c>
      <c r="D483" s="15" t="s">
        <v>300</v>
      </c>
      <c r="E483" s="16">
        <v>763598</v>
      </c>
      <c r="F483" s="16">
        <v>1083725</v>
      </c>
      <c r="G483" s="16">
        <v>9.7753169999999994</v>
      </c>
      <c r="H483" s="16">
        <v>-84.601016999999999</v>
      </c>
      <c r="I483" s="14">
        <v>13</v>
      </c>
      <c r="J483" s="14" t="s">
        <v>26</v>
      </c>
      <c r="K483" s="17">
        <v>42900</v>
      </c>
      <c r="L483" s="17">
        <v>42914</v>
      </c>
      <c r="M483" s="18">
        <f t="shared" si="20"/>
        <v>15</v>
      </c>
      <c r="N483" s="11">
        <f t="shared" si="1"/>
        <v>15</v>
      </c>
      <c r="O483" s="15" t="s">
        <v>317</v>
      </c>
      <c r="P483" s="15" t="s">
        <v>300</v>
      </c>
    </row>
    <row r="484" spans="1:16" ht="15.75" hidden="1" customHeight="1" x14ac:dyDescent="0.2">
      <c r="A484" s="14" t="s">
        <v>302</v>
      </c>
      <c r="B484" s="14" t="s">
        <v>298</v>
      </c>
      <c r="C484" s="14" t="s">
        <v>85</v>
      </c>
      <c r="D484" s="15" t="s">
        <v>300</v>
      </c>
      <c r="E484" s="16">
        <v>763598</v>
      </c>
      <c r="F484" s="16">
        <v>1083725</v>
      </c>
      <c r="G484" s="16">
        <v>9.7753169999999994</v>
      </c>
      <c r="H484" s="16">
        <v>-84.601016999999999</v>
      </c>
      <c r="I484" s="14">
        <v>13</v>
      </c>
      <c r="J484" s="14" t="s">
        <v>26</v>
      </c>
      <c r="K484" s="17">
        <v>43076</v>
      </c>
      <c r="L484" s="17">
        <v>43090</v>
      </c>
      <c r="M484" s="18">
        <f t="shared" si="20"/>
        <v>15</v>
      </c>
      <c r="N484" s="11">
        <f t="shared" si="1"/>
        <v>15</v>
      </c>
      <c r="O484" s="15" t="s">
        <v>318</v>
      </c>
      <c r="P484" s="15" t="s">
        <v>300</v>
      </c>
    </row>
    <row r="485" spans="1:16" ht="15.75" hidden="1" customHeight="1" x14ac:dyDescent="0.2">
      <c r="A485" s="14" t="s">
        <v>302</v>
      </c>
      <c r="B485" s="14" t="s">
        <v>298</v>
      </c>
      <c r="C485" s="14" t="s">
        <v>85</v>
      </c>
      <c r="D485" s="15" t="s">
        <v>301</v>
      </c>
      <c r="E485" s="16">
        <v>763572</v>
      </c>
      <c r="F485" s="16">
        <v>1083669</v>
      </c>
      <c r="G485" s="16">
        <v>9.7744499999999999</v>
      </c>
      <c r="H485" s="16">
        <v>-84.601917</v>
      </c>
      <c r="I485" s="14">
        <v>21</v>
      </c>
      <c r="J485" s="14" t="s">
        <v>26</v>
      </c>
      <c r="K485" s="17">
        <v>42992</v>
      </c>
      <c r="L485" s="17">
        <v>43097</v>
      </c>
      <c r="M485" s="18">
        <f t="shared" si="20"/>
        <v>106</v>
      </c>
      <c r="N485" s="11">
        <f t="shared" si="1"/>
        <v>106</v>
      </c>
      <c r="O485" s="15" t="s">
        <v>319</v>
      </c>
      <c r="P485" s="15" t="s">
        <v>301</v>
      </c>
    </row>
    <row r="486" spans="1:16" ht="15.75" hidden="1" customHeight="1" x14ac:dyDescent="0.2">
      <c r="A486" s="14" t="s">
        <v>320</v>
      </c>
      <c r="B486" s="14" t="s">
        <v>298</v>
      </c>
      <c r="C486" s="14" t="s">
        <v>85</v>
      </c>
      <c r="D486" s="14" t="s">
        <v>303</v>
      </c>
      <c r="E486" s="16">
        <v>763637</v>
      </c>
      <c r="F486" s="16">
        <v>1083718</v>
      </c>
      <c r="G486" s="16">
        <v>9.7982999999999993</v>
      </c>
      <c r="H486" s="14">
        <v>-84.596900000000005</v>
      </c>
      <c r="I486" s="16">
        <v>23</v>
      </c>
      <c r="J486" s="14" t="s">
        <v>26</v>
      </c>
      <c r="K486" s="17"/>
      <c r="L486" s="17"/>
      <c r="M486" s="18">
        <f t="shared" si="20"/>
        <v>0</v>
      </c>
      <c r="N486" s="11">
        <f t="shared" si="1"/>
        <v>0</v>
      </c>
      <c r="O486" s="15" t="s">
        <v>141</v>
      </c>
      <c r="P486" s="14" t="s">
        <v>303</v>
      </c>
    </row>
    <row r="487" spans="1:16" ht="15.75" hidden="1" customHeight="1" x14ac:dyDescent="0.2">
      <c r="A487" s="14" t="s">
        <v>320</v>
      </c>
      <c r="B487" s="14" t="s">
        <v>298</v>
      </c>
      <c r="C487" s="14" t="s">
        <v>85</v>
      </c>
      <c r="D487" s="15" t="s">
        <v>299</v>
      </c>
      <c r="E487" s="16">
        <v>763607</v>
      </c>
      <c r="F487" s="16">
        <v>1083703</v>
      </c>
      <c r="G487" s="16">
        <v>9.7983499999999992</v>
      </c>
      <c r="H487" s="16">
        <v>-84.597916999999995</v>
      </c>
      <c r="I487" s="14">
        <v>20</v>
      </c>
      <c r="J487" s="14" t="s">
        <v>26</v>
      </c>
      <c r="K487" s="17">
        <v>43095</v>
      </c>
      <c r="L487" s="17">
        <v>43172</v>
      </c>
      <c r="M487" s="18">
        <f t="shared" si="20"/>
        <v>78</v>
      </c>
      <c r="N487" s="11">
        <f t="shared" si="1"/>
        <v>78</v>
      </c>
      <c r="O487" s="15" t="s">
        <v>321</v>
      </c>
      <c r="P487" s="15" t="s">
        <v>299</v>
      </c>
    </row>
    <row r="488" spans="1:16" ht="15.75" hidden="1" customHeight="1" x14ac:dyDescent="0.2">
      <c r="A488" s="14" t="s">
        <v>320</v>
      </c>
      <c r="B488" s="14" t="s">
        <v>298</v>
      </c>
      <c r="C488" s="14" t="s">
        <v>85</v>
      </c>
      <c r="D488" s="15" t="s">
        <v>300</v>
      </c>
      <c r="E488" s="16">
        <v>763598</v>
      </c>
      <c r="F488" s="16">
        <v>1083725</v>
      </c>
      <c r="G488" s="16">
        <v>9.7753169999999994</v>
      </c>
      <c r="H488" s="16">
        <v>-84.601016999999999</v>
      </c>
      <c r="I488" s="14">
        <v>13</v>
      </c>
      <c r="J488" s="14" t="s">
        <v>26</v>
      </c>
      <c r="K488" s="17"/>
      <c r="L488" s="17"/>
      <c r="M488" s="18">
        <f t="shared" si="20"/>
        <v>0</v>
      </c>
      <c r="N488" s="11">
        <f t="shared" si="1"/>
        <v>0</v>
      </c>
      <c r="O488" s="15" t="s">
        <v>141</v>
      </c>
      <c r="P488" s="15" t="s">
        <v>300</v>
      </c>
    </row>
    <row r="489" spans="1:16" ht="15.75" hidden="1" customHeight="1" x14ac:dyDescent="0.2">
      <c r="A489" s="14" t="s">
        <v>320</v>
      </c>
      <c r="B489" s="14" t="s">
        <v>298</v>
      </c>
      <c r="C489" s="14" t="s">
        <v>85</v>
      </c>
      <c r="D489" s="15" t="s">
        <v>301</v>
      </c>
      <c r="E489" s="16">
        <v>763572</v>
      </c>
      <c r="F489" s="16">
        <v>1083669</v>
      </c>
      <c r="G489" s="16">
        <v>9.7744499999999999</v>
      </c>
      <c r="H489" s="16">
        <v>-84.601917</v>
      </c>
      <c r="I489" s="14">
        <v>21</v>
      </c>
      <c r="J489" s="14" t="s">
        <v>26</v>
      </c>
      <c r="K489" s="17"/>
      <c r="L489" s="17"/>
      <c r="M489" s="18">
        <f t="shared" si="20"/>
        <v>0</v>
      </c>
      <c r="N489" s="11">
        <f t="shared" si="1"/>
        <v>0</v>
      </c>
      <c r="O489" s="15" t="s">
        <v>141</v>
      </c>
      <c r="P489" s="15" t="s">
        <v>301</v>
      </c>
    </row>
    <row r="490" spans="1:16" ht="15.75" hidden="1" customHeight="1" x14ac:dyDescent="0.2">
      <c r="A490" s="19" t="s">
        <v>47</v>
      </c>
      <c r="B490" s="19" t="s">
        <v>298</v>
      </c>
      <c r="C490" s="19" t="s">
        <v>85</v>
      </c>
      <c r="D490" s="8" t="s">
        <v>303</v>
      </c>
      <c r="E490" s="9">
        <v>763637</v>
      </c>
      <c r="F490" s="9">
        <v>1083718</v>
      </c>
      <c r="G490" s="9">
        <v>9.7982999999999993</v>
      </c>
      <c r="H490" s="9">
        <v>-84.596900000000005</v>
      </c>
      <c r="I490" s="7">
        <v>22</v>
      </c>
      <c r="J490" s="19" t="s">
        <v>26</v>
      </c>
      <c r="K490" s="10">
        <v>42006</v>
      </c>
      <c r="L490" s="10">
        <v>42017</v>
      </c>
      <c r="M490" s="11">
        <f t="shared" si="20"/>
        <v>12</v>
      </c>
      <c r="N490" s="11">
        <f t="shared" si="1"/>
        <v>12</v>
      </c>
      <c r="O490" s="8"/>
      <c r="P490" s="8" t="s">
        <v>303</v>
      </c>
    </row>
    <row r="491" spans="1:16" ht="15.75" hidden="1" customHeight="1" x14ac:dyDescent="0.2">
      <c r="A491" s="19" t="s">
        <v>47</v>
      </c>
      <c r="B491" s="7" t="s">
        <v>298</v>
      </c>
      <c r="C491" s="19" t="s">
        <v>85</v>
      </c>
      <c r="D491" s="8" t="s">
        <v>300</v>
      </c>
      <c r="E491" s="9">
        <v>763598</v>
      </c>
      <c r="F491" s="9">
        <v>1083725</v>
      </c>
      <c r="G491" s="9">
        <v>9.7753169999999994</v>
      </c>
      <c r="H491" s="9">
        <v>-84.601016999999999</v>
      </c>
      <c r="I491" s="7">
        <v>62</v>
      </c>
      <c r="J491" s="19" t="s">
        <v>26</v>
      </c>
      <c r="K491" s="10">
        <v>42054</v>
      </c>
      <c r="L491" s="10">
        <v>42066</v>
      </c>
      <c r="M491" s="11">
        <f t="shared" si="20"/>
        <v>13</v>
      </c>
      <c r="N491" s="11">
        <f t="shared" si="1"/>
        <v>13</v>
      </c>
      <c r="O491" s="8"/>
      <c r="P491" s="8" t="s">
        <v>300</v>
      </c>
    </row>
    <row r="492" spans="1:16" ht="15.75" hidden="1" customHeight="1" x14ac:dyDescent="0.2">
      <c r="A492" s="19" t="s">
        <v>133</v>
      </c>
      <c r="B492" s="7" t="s">
        <v>298</v>
      </c>
      <c r="C492" s="19" t="s">
        <v>85</v>
      </c>
      <c r="D492" s="8" t="s">
        <v>299</v>
      </c>
      <c r="E492" s="9">
        <v>763607</v>
      </c>
      <c r="F492" s="9">
        <v>1083703</v>
      </c>
      <c r="G492" s="9">
        <v>9.7983499999999992</v>
      </c>
      <c r="H492" s="9">
        <v>-84.597916999999995</v>
      </c>
      <c r="I492" s="7">
        <v>28</v>
      </c>
      <c r="J492" s="19" t="s">
        <v>26</v>
      </c>
      <c r="K492" s="10">
        <v>42182</v>
      </c>
      <c r="L492" s="10">
        <v>42223</v>
      </c>
      <c r="M492" s="11">
        <f t="shared" si="20"/>
        <v>42</v>
      </c>
      <c r="N492" s="11">
        <f t="shared" si="1"/>
        <v>42</v>
      </c>
      <c r="O492" s="8"/>
      <c r="P492" s="8" t="s">
        <v>299</v>
      </c>
    </row>
    <row r="493" spans="1:16" ht="15.75" hidden="1" customHeight="1" x14ac:dyDescent="0.2">
      <c r="A493" s="19" t="s">
        <v>133</v>
      </c>
      <c r="B493" s="7" t="s">
        <v>298</v>
      </c>
      <c r="C493" s="19" t="s">
        <v>85</v>
      </c>
      <c r="D493" s="8" t="s">
        <v>300</v>
      </c>
      <c r="E493" s="9">
        <v>763598</v>
      </c>
      <c r="F493" s="9">
        <v>1083725</v>
      </c>
      <c r="G493" s="9">
        <v>9.7753169999999994</v>
      </c>
      <c r="H493" s="9">
        <v>-84.601016999999999</v>
      </c>
      <c r="I493" s="7">
        <v>62</v>
      </c>
      <c r="J493" s="19" t="s">
        <v>26</v>
      </c>
      <c r="K493" s="10">
        <v>42180</v>
      </c>
      <c r="L493" s="10">
        <v>42223</v>
      </c>
      <c r="M493" s="11">
        <f t="shared" si="20"/>
        <v>44</v>
      </c>
      <c r="N493" s="11">
        <f t="shared" si="1"/>
        <v>44</v>
      </c>
      <c r="O493" s="8"/>
      <c r="P493" s="8" t="s">
        <v>300</v>
      </c>
    </row>
    <row r="494" spans="1:16" ht="15.75" hidden="1" customHeight="1" x14ac:dyDescent="0.2">
      <c r="A494" s="19" t="s">
        <v>133</v>
      </c>
      <c r="B494" s="7" t="s">
        <v>298</v>
      </c>
      <c r="C494" s="19" t="s">
        <v>85</v>
      </c>
      <c r="D494" s="8" t="s">
        <v>301</v>
      </c>
      <c r="E494" s="9">
        <v>763572</v>
      </c>
      <c r="F494" s="9">
        <v>1083669</v>
      </c>
      <c r="G494" s="9">
        <v>9.7744499999999999</v>
      </c>
      <c r="H494" s="9">
        <v>-84.601917</v>
      </c>
      <c r="I494" s="7">
        <v>64</v>
      </c>
      <c r="J494" s="19" t="s">
        <v>26</v>
      </c>
      <c r="K494" s="10">
        <v>42180</v>
      </c>
      <c r="L494" s="10">
        <v>42202</v>
      </c>
      <c r="M494" s="11">
        <f t="shared" si="20"/>
        <v>23</v>
      </c>
      <c r="N494" s="11">
        <f t="shared" si="1"/>
        <v>23</v>
      </c>
      <c r="O494" s="8"/>
      <c r="P494" s="8" t="s">
        <v>301</v>
      </c>
    </row>
    <row r="495" spans="1:16" ht="15.75" hidden="1" customHeight="1" x14ac:dyDescent="0.2">
      <c r="A495" s="19" t="s">
        <v>36</v>
      </c>
      <c r="B495" s="7" t="s">
        <v>322</v>
      </c>
      <c r="C495" s="19" t="s">
        <v>323</v>
      </c>
      <c r="D495" s="8" t="s">
        <v>324</v>
      </c>
      <c r="E495" s="9">
        <v>786170.4</v>
      </c>
      <c r="F495" s="9">
        <v>1073353</v>
      </c>
      <c r="G495" s="9">
        <v>9.7001019999999993</v>
      </c>
      <c r="H495" s="9">
        <v>-84.392060999999998</v>
      </c>
      <c r="I495" s="7">
        <v>338</v>
      </c>
      <c r="J495" s="19" t="s">
        <v>26</v>
      </c>
      <c r="K495" s="10">
        <v>41942</v>
      </c>
      <c r="L495" s="10">
        <v>41995</v>
      </c>
      <c r="M495" s="11">
        <f t="shared" si="20"/>
        <v>54</v>
      </c>
      <c r="N495" s="11">
        <f t="shared" si="1"/>
        <v>54</v>
      </c>
      <c r="O495" s="8"/>
      <c r="P495" s="8" t="s">
        <v>324</v>
      </c>
    </row>
    <row r="496" spans="1:16" ht="15.75" hidden="1" customHeight="1" x14ac:dyDescent="0.2">
      <c r="A496" s="19" t="s">
        <v>36</v>
      </c>
      <c r="B496" s="7" t="s">
        <v>322</v>
      </c>
      <c r="C496" s="19" t="s">
        <v>323</v>
      </c>
      <c r="D496" s="8" t="s">
        <v>325</v>
      </c>
      <c r="E496" s="9">
        <v>786886.9</v>
      </c>
      <c r="F496" s="9">
        <v>1073236</v>
      </c>
      <c r="G496" s="9">
        <v>9.698995</v>
      </c>
      <c r="H496" s="9">
        <v>-84.385544530000004</v>
      </c>
      <c r="I496" s="19">
        <v>445</v>
      </c>
      <c r="J496" s="19" t="s">
        <v>26</v>
      </c>
      <c r="K496" s="10">
        <v>41936</v>
      </c>
      <c r="L496" s="10">
        <v>41997</v>
      </c>
      <c r="M496" s="11">
        <f t="shared" si="20"/>
        <v>62</v>
      </c>
      <c r="N496" s="11">
        <f t="shared" si="1"/>
        <v>62</v>
      </c>
      <c r="O496" s="8"/>
      <c r="P496" s="8" t="s">
        <v>325</v>
      </c>
    </row>
    <row r="497" spans="1:16" ht="15.75" hidden="1" customHeight="1" x14ac:dyDescent="0.2">
      <c r="A497" s="19" t="s">
        <v>36</v>
      </c>
      <c r="B497" s="7" t="s">
        <v>322</v>
      </c>
      <c r="C497" s="19" t="s">
        <v>323</v>
      </c>
      <c r="D497" s="8" t="s">
        <v>326</v>
      </c>
      <c r="E497" s="9">
        <v>787853.9</v>
      </c>
      <c r="F497" s="9">
        <v>1072469</v>
      </c>
      <c r="G497" s="9">
        <v>9.6919979999999999</v>
      </c>
      <c r="H497" s="9">
        <v>-84.376792330000001</v>
      </c>
      <c r="I497" s="19">
        <v>354</v>
      </c>
      <c r="J497" s="19" t="s">
        <v>26</v>
      </c>
      <c r="K497" s="10">
        <v>41935</v>
      </c>
      <c r="L497" s="10">
        <v>41994</v>
      </c>
      <c r="M497" s="11">
        <f t="shared" si="20"/>
        <v>60</v>
      </c>
      <c r="N497" s="11">
        <f t="shared" si="1"/>
        <v>60</v>
      </c>
      <c r="O497" s="8"/>
      <c r="P497" s="8" t="s">
        <v>326</v>
      </c>
    </row>
    <row r="498" spans="1:16" ht="15.75" hidden="1" customHeight="1" x14ac:dyDescent="0.2">
      <c r="A498" s="19" t="s">
        <v>36</v>
      </c>
      <c r="B498" s="7" t="s">
        <v>322</v>
      </c>
      <c r="C498" s="19" t="s">
        <v>323</v>
      </c>
      <c r="D498" s="8" t="s">
        <v>327</v>
      </c>
      <c r="E498" s="9">
        <v>785199.3</v>
      </c>
      <c r="F498" s="9">
        <v>1074223</v>
      </c>
      <c r="G498" s="9">
        <v>9.7080300000000008</v>
      </c>
      <c r="H498" s="9">
        <v>-84.400844230000004</v>
      </c>
      <c r="I498" s="19">
        <v>584</v>
      </c>
      <c r="J498" s="19" t="s">
        <v>26</v>
      </c>
      <c r="K498" s="10">
        <v>41945</v>
      </c>
      <c r="L498" s="10">
        <v>41962</v>
      </c>
      <c r="M498" s="11">
        <f t="shared" si="20"/>
        <v>18</v>
      </c>
      <c r="N498" s="11">
        <f t="shared" si="1"/>
        <v>18</v>
      </c>
      <c r="O498" s="8"/>
      <c r="P498" s="8" t="s">
        <v>327</v>
      </c>
    </row>
    <row r="499" spans="1:16" ht="15.75" hidden="1" customHeight="1" x14ac:dyDescent="0.2">
      <c r="A499" s="14" t="s">
        <v>131</v>
      </c>
      <c r="B499" s="7" t="s">
        <v>322</v>
      </c>
      <c r="C499" s="14" t="s">
        <v>328</v>
      </c>
      <c r="D499" s="15" t="s">
        <v>324</v>
      </c>
      <c r="E499" s="16">
        <v>786170.4</v>
      </c>
      <c r="F499" s="16">
        <v>1073353</v>
      </c>
      <c r="G499" s="16">
        <v>9.7001019999999993</v>
      </c>
      <c r="H499" s="16">
        <v>-84.392060999999998</v>
      </c>
      <c r="I499" s="14">
        <v>338</v>
      </c>
      <c r="J499" s="14" t="s">
        <v>329</v>
      </c>
      <c r="K499" s="17">
        <v>42736</v>
      </c>
      <c r="L499" s="17">
        <v>42764</v>
      </c>
      <c r="M499" s="18">
        <f t="shared" si="20"/>
        <v>29</v>
      </c>
      <c r="N499" s="11">
        <f t="shared" si="1"/>
        <v>29</v>
      </c>
      <c r="O499" s="15" t="s">
        <v>330</v>
      </c>
      <c r="P499" s="15" t="s">
        <v>324</v>
      </c>
    </row>
    <row r="500" spans="1:16" ht="15.75" hidden="1" customHeight="1" x14ac:dyDescent="0.2">
      <c r="A500" s="14" t="s">
        <v>131</v>
      </c>
      <c r="B500" s="7" t="s">
        <v>322</v>
      </c>
      <c r="C500" s="14" t="s">
        <v>328</v>
      </c>
      <c r="D500" s="15" t="s">
        <v>324</v>
      </c>
      <c r="E500" s="16">
        <v>786170.4</v>
      </c>
      <c r="F500" s="16">
        <v>1073353</v>
      </c>
      <c r="G500" s="16">
        <v>9.7001019999999993</v>
      </c>
      <c r="H500" s="16">
        <v>-84.392060999999998</v>
      </c>
      <c r="I500" s="14">
        <v>338</v>
      </c>
      <c r="J500" s="14" t="s">
        <v>329</v>
      </c>
      <c r="K500" s="17">
        <v>42764</v>
      </c>
      <c r="L500" s="17">
        <v>42793</v>
      </c>
      <c r="M500" s="18">
        <f t="shared" si="20"/>
        <v>30</v>
      </c>
      <c r="N500" s="11">
        <f t="shared" si="1"/>
        <v>30</v>
      </c>
      <c r="O500" s="15" t="s">
        <v>331</v>
      </c>
      <c r="P500" s="15" t="s">
        <v>324</v>
      </c>
    </row>
    <row r="501" spans="1:16" ht="15.75" hidden="1" customHeight="1" x14ac:dyDescent="0.2">
      <c r="A501" s="14" t="s">
        <v>131</v>
      </c>
      <c r="B501" s="7" t="s">
        <v>322</v>
      </c>
      <c r="C501" s="14" t="s">
        <v>328</v>
      </c>
      <c r="D501" s="15" t="s">
        <v>324</v>
      </c>
      <c r="E501" s="16">
        <v>786170.4</v>
      </c>
      <c r="F501" s="16">
        <v>1073353</v>
      </c>
      <c r="G501" s="16">
        <v>9.7001019999999993</v>
      </c>
      <c r="H501" s="16">
        <v>-84.392060999999998</v>
      </c>
      <c r="I501" s="14">
        <v>338</v>
      </c>
      <c r="J501" s="14" t="s">
        <v>329</v>
      </c>
      <c r="K501" s="17">
        <v>42793</v>
      </c>
      <c r="L501" s="17">
        <v>42824</v>
      </c>
      <c r="M501" s="18">
        <f t="shared" si="20"/>
        <v>32</v>
      </c>
      <c r="N501" s="11">
        <f t="shared" si="1"/>
        <v>32</v>
      </c>
      <c r="O501" s="15" t="s">
        <v>332</v>
      </c>
      <c r="P501" s="15" t="s">
        <v>324</v>
      </c>
    </row>
    <row r="502" spans="1:16" ht="15.75" hidden="1" customHeight="1" x14ac:dyDescent="0.2">
      <c r="A502" s="14" t="s">
        <v>131</v>
      </c>
      <c r="B502" s="7" t="s">
        <v>322</v>
      </c>
      <c r="C502" s="14" t="s">
        <v>328</v>
      </c>
      <c r="D502" s="15" t="s">
        <v>324</v>
      </c>
      <c r="E502" s="16">
        <v>786170.4</v>
      </c>
      <c r="F502" s="16">
        <v>1073353</v>
      </c>
      <c r="G502" s="16">
        <v>9.7001019999999993</v>
      </c>
      <c r="H502" s="16">
        <v>-84.392060999999998</v>
      </c>
      <c r="I502" s="14">
        <v>338</v>
      </c>
      <c r="J502" s="14" t="s">
        <v>329</v>
      </c>
      <c r="K502" s="17">
        <v>42825</v>
      </c>
      <c r="L502" s="17">
        <v>42854</v>
      </c>
      <c r="M502" s="18">
        <f t="shared" si="20"/>
        <v>30</v>
      </c>
      <c r="N502" s="11">
        <f t="shared" si="1"/>
        <v>30</v>
      </c>
      <c r="O502" s="15" t="s">
        <v>333</v>
      </c>
      <c r="P502" s="15" t="s">
        <v>324</v>
      </c>
    </row>
    <row r="503" spans="1:16" ht="15.75" hidden="1" customHeight="1" x14ac:dyDescent="0.2">
      <c r="A503" s="7" t="s">
        <v>334</v>
      </c>
      <c r="B503" s="7" t="s">
        <v>322</v>
      </c>
      <c r="C503" s="14" t="s">
        <v>328</v>
      </c>
      <c r="D503" s="15" t="s">
        <v>324</v>
      </c>
      <c r="E503" s="16">
        <v>786170.4</v>
      </c>
      <c r="F503" s="16">
        <v>1073353</v>
      </c>
      <c r="G503" s="16">
        <v>9.7001019999999993</v>
      </c>
      <c r="H503" s="16">
        <v>-84.392060999999998</v>
      </c>
      <c r="I503" s="14">
        <v>338</v>
      </c>
      <c r="J503" s="14" t="s">
        <v>329</v>
      </c>
      <c r="K503" s="17">
        <v>42854</v>
      </c>
      <c r="L503" s="17">
        <v>42884</v>
      </c>
      <c r="M503" s="18">
        <f t="shared" si="20"/>
        <v>31</v>
      </c>
      <c r="N503" s="11">
        <f t="shared" si="1"/>
        <v>31</v>
      </c>
      <c r="O503" s="15" t="s">
        <v>335</v>
      </c>
      <c r="P503" s="15" t="s">
        <v>324</v>
      </c>
    </row>
    <row r="504" spans="1:16" ht="15.75" hidden="1" customHeight="1" x14ac:dyDescent="0.2">
      <c r="A504" s="7" t="s">
        <v>334</v>
      </c>
      <c r="B504" s="7" t="s">
        <v>322</v>
      </c>
      <c r="C504" s="14" t="s">
        <v>328</v>
      </c>
      <c r="D504" s="15" t="s">
        <v>324</v>
      </c>
      <c r="E504" s="16">
        <v>786170.4</v>
      </c>
      <c r="F504" s="16">
        <v>1073353</v>
      </c>
      <c r="G504" s="16">
        <v>9.7001019999999993</v>
      </c>
      <c r="H504" s="16">
        <v>-84.392060999999998</v>
      </c>
      <c r="I504" s="14">
        <v>338</v>
      </c>
      <c r="J504" s="14" t="s">
        <v>329</v>
      </c>
      <c r="K504" s="17">
        <v>42886</v>
      </c>
      <c r="L504" s="17">
        <v>42919</v>
      </c>
      <c r="M504" s="18">
        <f t="shared" si="20"/>
        <v>34</v>
      </c>
      <c r="N504" s="11">
        <f t="shared" si="1"/>
        <v>34</v>
      </c>
      <c r="O504" s="15" t="s">
        <v>336</v>
      </c>
      <c r="P504" s="15" t="s">
        <v>324</v>
      </c>
    </row>
    <row r="505" spans="1:16" ht="15.75" hidden="1" customHeight="1" x14ac:dyDescent="0.2">
      <c r="A505" s="7" t="s">
        <v>334</v>
      </c>
      <c r="B505" s="7" t="s">
        <v>322</v>
      </c>
      <c r="C505" s="14" t="s">
        <v>328</v>
      </c>
      <c r="D505" s="15" t="s">
        <v>324</v>
      </c>
      <c r="E505" s="16">
        <v>786170.4</v>
      </c>
      <c r="F505" s="16">
        <v>1073353</v>
      </c>
      <c r="G505" s="16">
        <v>9.7001019999999993</v>
      </c>
      <c r="H505" s="16">
        <v>-84.392060999999998</v>
      </c>
      <c r="I505" s="14">
        <v>338</v>
      </c>
      <c r="J505" s="14" t="s">
        <v>329</v>
      </c>
      <c r="K505" s="17">
        <v>42919</v>
      </c>
      <c r="L505" s="17">
        <v>42986</v>
      </c>
      <c r="M505" s="18">
        <f t="shared" si="20"/>
        <v>68</v>
      </c>
      <c r="N505" s="11">
        <f t="shared" si="1"/>
        <v>68</v>
      </c>
      <c r="O505" s="15" t="s">
        <v>337</v>
      </c>
      <c r="P505" s="15" t="s">
        <v>324</v>
      </c>
    </row>
    <row r="506" spans="1:16" ht="15.75" hidden="1" customHeight="1" x14ac:dyDescent="0.2">
      <c r="A506" s="7" t="s">
        <v>334</v>
      </c>
      <c r="B506" s="7" t="s">
        <v>322</v>
      </c>
      <c r="C506" s="14" t="s">
        <v>328</v>
      </c>
      <c r="D506" s="15" t="s">
        <v>324</v>
      </c>
      <c r="E506" s="16">
        <v>786170.4</v>
      </c>
      <c r="F506" s="16">
        <v>1073353</v>
      </c>
      <c r="G506" s="16">
        <v>9.7001019999999993</v>
      </c>
      <c r="H506" s="16">
        <v>-84.392060999999998</v>
      </c>
      <c r="I506" s="14">
        <v>338</v>
      </c>
      <c r="J506" s="14" t="s">
        <v>329</v>
      </c>
      <c r="K506" s="17">
        <v>42986</v>
      </c>
      <c r="L506" s="17">
        <v>43016</v>
      </c>
      <c r="M506" s="18">
        <f t="shared" si="20"/>
        <v>31</v>
      </c>
      <c r="N506" s="11">
        <f t="shared" si="1"/>
        <v>31</v>
      </c>
      <c r="O506" s="15" t="s">
        <v>338</v>
      </c>
      <c r="P506" s="15" t="s">
        <v>324</v>
      </c>
    </row>
    <row r="507" spans="1:16" ht="15.75" hidden="1" customHeight="1" x14ac:dyDescent="0.2">
      <c r="A507" s="7" t="s">
        <v>334</v>
      </c>
      <c r="B507" s="7" t="s">
        <v>322</v>
      </c>
      <c r="C507" s="14" t="s">
        <v>328</v>
      </c>
      <c r="D507" s="15" t="s">
        <v>324</v>
      </c>
      <c r="E507" s="16">
        <v>786170.4</v>
      </c>
      <c r="F507" s="16">
        <v>1073353</v>
      </c>
      <c r="G507" s="16">
        <v>9.7001019999999993</v>
      </c>
      <c r="H507" s="16">
        <v>-84.392060999999998</v>
      </c>
      <c r="I507" s="14">
        <v>338</v>
      </c>
      <c r="J507" s="14" t="s">
        <v>329</v>
      </c>
      <c r="K507" s="17">
        <v>43016</v>
      </c>
      <c r="L507" s="17">
        <v>43042</v>
      </c>
      <c r="M507" s="18">
        <f t="shared" si="20"/>
        <v>27</v>
      </c>
      <c r="N507" s="11">
        <f t="shared" si="1"/>
        <v>27</v>
      </c>
      <c r="O507" s="15" t="s">
        <v>339</v>
      </c>
      <c r="P507" s="15" t="s">
        <v>324</v>
      </c>
    </row>
    <row r="508" spans="1:16" ht="15.75" hidden="1" customHeight="1" x14ac:dyDescent="0.2">
      <c r="A508" s="7" t="s">
        <v>334</v>
      </c>
      <c r="B508" s="7" t="s">
        <v>322</v>
      </c>
      <c r="C508" s="14" t="s">
        <v>328</v>
      </c>
      <c r="D508" s="15" t="s">
        <v>324</v>
      </c>
      <c r="E508" s="16">
        <v>786170.4</v>
      </c>
      <c r="F508" s="16">
        <v>1073353</v>
      </c>
      <c r="G508" s="16">
        <v>9.7001019999999993</v>
      </c>
      <c r="H508" s="16">
        <v>-84.392060999999998</v>
      </c>
      <c r="I508" s="14">
        <v>338</v>
      </c>
      <c r="J508" s="14" t="s">
        <v>329</v>
      </c>
      <c r="K508" s="17">
        <v>43066</v>
      </c>
      <c r="L508" s="17">
        <v>43095</v>
      </c>
      <c r="M508" s="18">
        <f t="shared" si="20"/>
        <v>30</v>
      </c>
      <c r="N508" s="11">
        <f t="shared" si="1"/>
        <v>30</v>
      </c>
      <c r="O508" s="15" t="s">
        <v>340</v>
      </c>
      <c r="P508" s="15" t="s">
        <v>324</v>
      </c>
    </row>
    <row r="509" spans="1:16" ht="15.75" hidden="1" customHeight="1" x14ac:dyDescent="0.2">
      <c r="A509" s="7" t="s">
        <v>334</v>
      </c>
      <c r="B509" s="7" t="s">
        <v>322</v>
      </c>
      <c r="C509" s="14" t="s">
        <v>341</v>
      </c>
      <c r="D509" s="15" t="s">
        <v>325</v>
      </c>
      <c r="E509" s="16">
        <v>786886.9</v>
      </c>
      <c r="F509" s="16">
        <v>1073236</v>
      </c>
      <c r="G509" s="16">
        <v>9.698995</v>
      </c>
      <c r="H509" s="16">
        <v>-84.385544530000004</v>
      </c>
      <c r="I509" s="14">
        <v>445</v>
      </c>
      <c r="J509" s="14" t="s">
        <v>20</v>
      </c>
      <c r="K509" s="17">
        <v>42886</v>
      </c>
      <c r="L509" s="17">
        <v>42919</v>
      </c>
      <c r="M509" s="18">
        <f t="shared" si="20"/>
        <v>34</v>
      </c>
      <c r="N509" s="11">
        <f t="shared" si="1"/>
        <v>34</v>
      </c>
      <c r="O509" s="15" t="s">
        <v>141</v>
      </c>
      <c r="P509" s="15" t="s">
        <v>325</v>
      </c>
    </row>
    <row r="510" spans="1:16" ht="15.75" hidden="1" customHeight="1" x14ac:dyDescent="0.2">
      <c r="A510" s="14" t="s">
        <v>131</v>
      </c>
      <c r="B510" s="7" t="s">
        <v>322</v>
      </c>
      <c r="C510" s="14" t="s">
        <v>341</v>
      </c>
      <c r="D510" s="15" t="s">
        <v>325</v>
      </c>
      <c r="E510" s="16">
        <v>786886.9</v>
      </c>
      <c r="F510" s="16">
        <v>1073236</v>
      </c>
      <c r="G510" s="16">
        <v>9.698995</v>
      </c>
      <c r="H510" s="16">
        <v>-84.385544530000004</v>
      </c>
      <c r="I510" s="14">
        <v>445</v>
      </c>
      <c r="J510" s="14" t="s">
        <v>20</v>
      </c>
      <c r="K510" s="17">
        <v>42733</v>
      </c>
      <c r="L510" s="17">
        <v>42733</v>
      </c>
      <c r="M510" s="18">
        <f t="shared" si="20"/>
        <v>1</v>
      </c>
      <c r="N510" s="11">
        <f t="shared" si="1"/>
        <v>1</v>
      </c>
      <c r="O510" s="15" t="s">
        <v>342</v>
      </c>
      <c r="P510" s="15" t="s">
        <v>325</v>
      </c>
    </row>
    <row r="511" spans="1:16" ht="15.75" hidden="1" customHeight="1" x14ac:dyDescent="0.2">
      <c r="A511" s="14" t="s">
        <v>131</v>
      </c>
      <c r="B511" s="7" t="s">
        <v>322</v>
      </c>
      <c r="C511" s="14" t="s">
        <v>341</v>
      </c>
      <c r="D511" s="15" t="s">
        <v>325</v>
      </c>
      <c r="E511" s="16">
        <v>786886.9</v>
      </c>
      <c r="F511" s="16">
        <v>1073236</v>
      </c>
      <c r="G511" s="16">
        <v>9.698995</v>
      </c>
      <c r="H511" s="16">
        <v>-84.385544530000004</v>
      </c>
      <c r="I511" s="14">
        <v>445</v>
      </c>
      <c r="J511" s="14" t="s">
        <v>20</v>
      </c>
      <c r="K511" s="17">
        <v>42764</v>
      </c>
      <c r="L511" s="17">
        <v>42793</v>
      </c>
      <c r="M511" s="18">
        <f t="shared" si="20"/>
        <v>30</v>
      </c>
      <c r="N511" s="11">
        <f t="shared" si="1"/>
        <v>30</v>
      </c>
      <c r="O511" s="15" t="s">
        <v>343</v>
      </c>
      <c r="P511" s="15" t="s">
        <v>325</v>
      </c>
    </row>
    <row r="512" spans="1:16" ht="15.75" hidden="1" customHeight="1" x14ac:dyDescent="0.2">
      <c r="A512" s="14" t="s">
        <v>131</v>
      </c>
      <c r="B512" s="7" t="s">
        <v>322</v>
      </c>
      <c r="C512" s="14" t="s">
        <v>341</v>
      </c>
      <c r="D512" s="15" t="s">
        <v>325</v>
      </c>
      <c r="E512" s="16">
        <v>786886.9</v>
      </c>
      <c r="F512" s="16">
        <v>1073236</v>
      </c>
      <c r="G512" s="16">
        <v>9.698995</v>
      </c>
      <c r="H512" s="16">
        <v>-84.385544530000004</v>
      </c>
      <c r="I512" s="14">
        <v>445</v>
      </c>
      <c r="J512" s="14" t="s">
        <v>20</v>
      </c>
      <c r="K512" s="17">
        <v>42793</v>
      </c>
      <c r="L512" s="17">
        <v>42824</v>
      </c>
      <c r="M512" s="18">
        <f t="shared" si="20"/>
        <v>32</v>
      </c>
      <c r="N512" s="11">
        <f t="shared" si="1"/>
        <v>32</v>
      </c>
      <c r="O512" s="15" t="s">
        <v>344</v>
      </c>
      <c r="P512" s="15" t="s">
        <v>325</v>
      </c>
    </row>
    <row r="513" spans="1:16" ht="15.75" hidden="1" customHeight="1" x14ac:dyDescent="0.2">
      <c r="A513" s="14" t="s">
        <v>131</v>
      </c>
      <c r="B513" s="7" t="s">
        <v>322</v>
      </c>
      <c r="C513" s="14" t="s">
        <v>341</v>
      </c>
      <c r="D513" s="15" t="s">
        <v>325</v>
      </c>
      <c r="E513" s="16">
        <v>786886.9</v>
      </c>
      <c r="F513" s="16">
        <v>1073236</v>
      </c>
      <c r="G513" s="16">
        <v>9.698995</v>
      </c>
      <c r="H513" s="16">
        <v>-84.385544530000004</v>
      </c>
      <c r="I513" s="14">
        <v>445</v>
      </c>
      <c r="J513" s="14" t="s">
        <v>20</v>
      </c>
      <c r="K513" s="17">
        <v>42825</v>
      </c>
      <c r="L513" s="17">
        <v>42854</v>
      </c>
      <c r="M513" s="18">
        <f t="shared" si="20"/>
        <v>30</v>
      </c>
      <c r="N513" s="11">
        <f t="shared" si="1"/>
        <v>30</v>
      </c>
      <c r="O513" s="15" t="s">
        <v>345</v>
      </c>
      <c r="P513" s="15" t="s">
        <v>325</v>
      </c>
    </row>
    <row r="514" spans="1:16" ht="15.75" hidden="1" customHeight="1" x14ac:dyDescent="0.2">
      <c r="A514" s="14" t="s">
        <v>346</v>
      </c>
      <c r="B514" s="7" t="s">
        <v>322</v>
      </c>
      <c r="C514" s="14" t="s">
        <v>341</v>
      </c>
      <c r="D514" s="15" t="s">
        <v>325</v>
      </c>
      <c r="E514" s="16">
        <v>786886.9</v>
      </c>
      <c r="F514" s="16">
        <v>1073236</v>
      </c>
      <c r="G514" s="16">
        <v>9.698995</v>
      </c>
      <c r="H514" s="16">
        <v>-84.385544530000004</v>
      </c>
      <c r="I514" s="14">
        <v>445</v>
      </c>
      <c r="J514" s="14" t="s">
        <v>20</v>
      </c>
      <c r="K514" s="17">
        <v>42854</v>
      </c>
      <c r="L514" s="17">
        <v>42886</v>
      </c>
      <c r="M514" s="18">
        <f t="shared" si="20"/>
        <v>33</v>
      </c>
      <c r="N514" s="11">
        <f t="shared" si="1"/>
        <v>33</v>
      </c>
      <c r="O514" s="15" t="s">
        <v>347</v>
      </c>
      <c r="P514" s="15" t="s">
        <v>325</v>
      </c>
    </row>
    <row r="515" spans="1:16" ht="15.75" hidden="1" customHeight="1" x14ac:dyDescent="0.2">
      <c r="A515" s="7" t="s">
        <v>334</v>
      </c>
      <c r="B515" s="7" t="s">
        <v>322</v>
      </c>
      <c r="C515" s="14" t="s">
        <v>341</v>
      </c>
      <c r="D515" s="15" t="s">
        <v>325</v>
      </c>
      <c r="E515" s="16">
        <v>786886.9</v>
      </c>
      <c r="F515" s="16">
        <v>1073236</v>
      </c>
      <c r="G515" s="16">
        <v>9.698995</v>
      </c>
      <c r="H515" s="16">
        <v>-84.385544530000004</v>
      </c>
      <c r="I515" s="14">
        <v>445</v>
      </c>
      <c r="J515" s="14" t="s">
        <v>20</v>
      </c>
      <c r="K515" s="17">
        <v>42920</v>
      </c>
      <c r="L515" s="17">
        <v>42986</v>
      </c>
      <c r="M515" s="18">
        <f t="shared" si="20"/>
        <v>67</v>
      </c>
      <c r="N515" s="11">
        <f t="shared" si="1"/>
        <v>67</v>
      </c>
      <c r="O515" s="15" t="s">
        <v>348</v>
      </c>
      <c r="P515" s="15" t="s">
        <v>325</v>
      </c>
    </row>
    <row r="516" spans="1:16" ht="15.75" hidden="1" customHeight="1" x14ac:dyDescent="0.2">
      <c r="A516" s="7" t="s">
        <v>334</v>
      </c>
      <c r="B516" s="7" t="s">
        <v>322</v>
      </c>
      <c r="C516" s="14" t="s">
        <v>341</v>
      </c>
      <c r="D516" s="15" t="s">
        <v>325</v>
      </c>
      <c r="E516" s="16">
        <v>786886.9</v>
      </c>
      <c r="F516" s="16">
        <v>1073236</v>
      </c>
      <c r="G516" s="16">
        <v>9.698995</v>
      </c>
      <c r="H516" s="16">
        <v>-84.385544530000004</v>
      </c>
      <c r="I516" s="14">
        <v>445</v>
      </c>
      <c r="J516" s="14" t="s">
        <v>20</v>
      </c>
      <c r="K516" s="17">
        <v>42986</v>
      </c>
      <c r="L516" s="17">
        <v>43016</v>
      </c>
      <c r="M516" s="18">
        <f t="shared" si="20"/>
        <v>31</v>
      </c>
      <c r="N516" s="11">
        <f t="shared" si="1"/>
        <v>31</v>
      </c>
      <c r="O516" s="15" t="s">
        <v>349</v>
      </c>
      <c r="P516" s="15" t="s">
        <v>325</v>
      </c>
    </row>
    <row r="517" spans="1:16" ht="15.75" hidden="1" customHeight="1" x14ac:dyDescent="0.2">
      <c r="A517" s="7" t="s">
        <v>334</v>
      </c>
      <c r="B517" s="7" t="s">
        <v>322</v>
      </c>
      <c r="C517" s="14" t="s">
        <v>341</v>
      </c>
      <c r="D517" s="15" t="s">
        <v>325</v>
      </c>
      <c r="E517" s="16">
        <v>786886.9</v>
      </c>
      <c r="F517" s="16">
        <v>1073236</v>
      </c>
      <c r="G517" s="16">
        <v>9.698995</v>
      </c>
      <c r="H517" s="16">
        <v>-84.385544530000004</v>
      </c>
      <c r="I517" s="14">
        <v>445</v>
      </c>
      <c r="J517" s="14" t="s">
        <v>20</v>
      </c>
      <c r="K517" s="17">
        <v>43016</v>
      </c>
      <c r="L517" s="17">
        <v>43042</v>
      </c>
      <c r="M517" s="18">
        <f t="shared" si="20"/>
        <v>27</v>
      </c>
      <c r="N517" s="11">
        <f t="shared" si="1"/>
        <v>27</v>
      </c>
      <c r="O517" s="15" t="s">
        <v>350</v>
      </c>
      <c r="P517" s="15" t="s">
        <v>325</v>
      </c>
    </row>
    <row r="518" spans="1:16" ht="15.75" hidden="1" customHeight="1" x14ac:dyDescent="0.2">
      <c r="A518" s="7" t="s">
        <v>334</v>
      </c>
      <c r="B518" s="7" t="s">
        <v>322</v>
      </c>
      <c r="C518" s="14" t="s">
        <v>341</v>
      </c>
      <c r="D518" s="15" t="s">
        <v>325</v>
      </c>
      <c r="E518" s="16">
        <v>786886.9</v>
      </c>
      <c r="F518" s="16">
        <v>1073236</v>
      </c>
      <c r="G518" s="16">
        <v>9.698995</v>
      </c>
      <c r="H518" s="16">
        <v>-84.385544530000004</v>
      </c>
      <c r="I518" s="14">
        <v>445</v>
      </c>
      <c r="J518" s="14" t="s">
        <v>20</v>
      </c>
      <c r="K518" s="17">
        <v>43066</v>
      </c>
      <c r="L518" s="17">
        <v>43091</v>
      </c>
      <c r="M518" s="18">
        <f t="shared" si="20"/>
        <v>26</v>
      </c>
      <c r="N518" s="11">
        <f t="shared" si="1"/>
        <v>26</v>
      </c>
      <c r="O518" s="15" t="s">
        <v>351</v>
      </c>
      <c r="P518" s="15" t="s">
        <v>325</v>
      </c>
    </row>
    <row r="519" spans="1:16" ht="15.75" hidden="1" customHeight="1" x14ac:dyDescent="0.2">
      <c r="A519" s="14" t="s">
        <v>346</v>
      </c>
      <c r="B519" s="7" t="s">
        <v>322</v>
      </c>
      <c r="C519" s="14" t="s">
        <v>352</v>
      </c>
      <c r="D519" s="15" t="s">
        <v>326</v>
      </c>
      <c r="E519" s="16">
        <v>787853.9</v>
      </c>
      <c r="F519" s="16">
        <v>1072469</v>
      </c>
      <c r="G519" s="16">
        <v>9.6919979999999999</v>
      </c>
      <c r="H519" s="16">
        <v>-84.376792330000001</v>
      </c>
      <c r="I519" s="14">
        <v>354</v>
      </c>
      <c r="J519" s="14" t="s">
        <v>20</v>
      </c>
      <c r="K519" s="17">
        <v>42733</v>
      </c>
      <c r="L519" s="17">
        <v>42760</v>
      </c>
      <c r="M519" s="18">
        <f t="shared" si="20"/>
        <v>28</v>
      </c>
      <c r="N519" s="11">
        <f t="shared" si="1"/>
        <v>28</v>
      </c>
      <c r="O519" s="15" t="s">
        <v>353</v>
      </c>
      <c r="P519" s="15" t="s">
        <v>326</v>
      </c>
    </row>
    <row r="520" spans="1:16" ht="15.75" hidden="1" customHeight="1" x14ac:dyDescent="0.2">
      <c r="A520" s="14" t="s">
        <v>131</v>
      </c>
      <c r="B520" s="7" t="s">
        <v>322</v>
      </c>
      <c r="C520" s="14" t="s">
        <v>352</v>
      </c>
      <c r="D520" s="15" t="s">
        <v>326</v>
      </c>
      <c r="E520" s="16">
        <v>787853.9</v>
      </c>
      <c r="F520" s="16">
        <v>1072469</v>
      </c>
      <c r="G520" s="16">
        <v>9.6919979999999999</v>
      </c>
      <c r="H520" s="16">
        <v>-84.376792330000001</v>
      </c>
      <c r="I520" s="14">
        <v>354</v>
      </c>
      <c r="J520" s="14" t="s">
        <v>20</v>
      </c>
      <c r="K520" s="17">
        <v>42764</v>
      </c>
      <c r="L520" s="17">
        <v>42793</v>
      </c>
      <c r="M520" s="18">
        <f t="shared" si="20"/>
        <v>30</v>
      </c>
      <c r="N520" s="11">
        <f t="shared" si="1"/>
        <v>30</v>
      </c>
      <c r="O520" s="15" t="s">
        <v>354</v>
      </c>
      <c r="P520" s="15" t="s">
        <v>326</v>
      </c>
    </row>
    <row r="521" spans="1:16" ht="15.75" hidden="1" customHeight="1" x14ac:dyDescent="0.2">
      <c r="A521" s="14" t="s">
        <v>131</v>
      </c>
      <c r="B521" s="7" t="s">
        <v>322</v>
      </c>
      <c r="C521" s="14" t="s">
        <v>352</v>
      </c>
      <c r="D521" s="15" t="s">
        <v>326</v>
      </c>
      <c r="E521" s="16">
        <v>787853.9</v>
      </c>
      <c r="F521" s="16">
        <v>1072469</v>
      </c>
      <c r="G521" s="16">
        <v>9.6919979999999999</v>
      </c>
      <c r="H521" s="16">
        <v>-84.376792330000001</v>
      </c>
      <c r="I521" s="14">
        <v>354</v>
      </c>
      <c r="J521" s="14" t="s">
        <v>20</v>
      </c>
      <c r="K521" s="17">
        <v>42793</v>
      </c>
      <c r="L521" s="17">
        <v>42824</v>
      </c>
      <c r="M521" s="18">
        <f t="shared" si="20"/>
        <v>32</v>
      </c>
      <c r="N521" s="11">
        <f t="shared" si="1"/>
        <v>32</v>
      </c>
      <c r="O521" s="15" t="s">
        <v>355</v>
      </c>
      <c r="P521" s="15" t="s">
        <v>326</v>
      </c>
    </row>
    <row r="522" spans="1:16" ht="15.75" hidden="1" customHeight="1" x14ac:dyDescent="0.2">
      <c r="A522" s="14" t="s">
        <v>131</v>
      </c>
      <c r="B522" s="7" t="s">
        <v>322</v>
      </c>
      <c r="C522" s="14" t="s">
        <v>352</v>
      </c>
      <c r="D522" s="15" t="s">
        <v>326</v>
      </c>
      <c r="E522" s="16">
        <v>787853.9</v>
      </c>
      <c r="F522" s="16">
        <v>1072469</v>
      </c>
      <c r="G522" s="16">
        <v>9.6919979999999999</v>
      </c>
      <c r="H522" s="16">
        <v>-84.376792330000001</v>
      </c>
      <c r="I522" s="14">
        <v>354</v>
      </c>
      <c r="J522" s="14" t="s">
        <v>20</v>
      </c>
      <c r="K522" s="17">
        <v>42825</v>
      </c>
      <c r="L522" s="17">
        <v>42854</v>
      </c>
      <c r="M522" s="18">
        <f t="shared" si="20"/>
        <v>30</v>
      </c>
      <c r="N522" s="11">
        <f t="shared" si="1"/>
        <v>30</v>
      </c>
      <c r="O522" s="15" t="s">
        <v>356</v>
      </c>
      <c r="P522" s="15" t="s">
        <v>326</v>
      </c>
    </row>
    <row r="523" spans="1:16" ht="15.75" hidden="1" customHeight="1" x14ac:dyDescent="0.2">
      <c r="A523" s="14" t="s">
        <v>334</v>
      </c>
      <c r="B523" s="7" t="s">
        <v>322</v>
      </c>
      <c r="C523" s="14" t="s">
        <v>352</v>
      </c>
      <c r="D523" s="15" t="s">
        <v>326</v>
      </c>
      <c r="E523" s="16">
        <v>787853.9</v>
      </c>
      <c r="F523" s="16">
        <v>1072469</v>
      </c>
      <c r="G523" s="16">
        <v>9.6919979999999999</v>
      </c>
      <c r="H523" s="16">
        <v>-84.376792330000001</v>
      </c>
      <c r="I523" s="14">
        <v>354</v>
      </c>
      <c r="J523" s="14" t="s">
        <v>20</v>
      </c>
      <c r="K523" s="17">
        <v>42854</v>
      </c>
      <c r="L523" s="17">
        <v>42872</v>
      </c>
      <c r="M523" s="18">
        <f t="shared" si="20"/>
        <v>19</v>
      </c>
      <c r="N523" s="11">
        <f t="shared" si="1"/>
        <v>19</v>
      </c>
      <c r="O523" s="15" t="s">
        <v>357</v>
      </c>
      <c r="P523" s="15" t="s">
        <v>326</v>
      </c>
    </row>
    <row r="524" spans="1:16" ht="15.75" hidden="1" customHeight="1" x14ac:dyDescent="0.2">
      <c r="A524" s="14" t="s">
        <v>334</v>
      </c>
      <c r="B524" s="7" t="s">
        <v>322</v>
      </c>
      <c r="C524" s="14" t="s">
        <v>352</v>
      </c>
      <c r="D524" s="15" t="s">
        <v>326</v>
      </c>
      <c r="E524" s="16">
        <v>787853.9</v>
      </c>
      <c r="F524" s="16">
        <v>1072469</v>
      </c>
      <c r="G524" s="16">
        <v>9.6919979999999999</v>
      </c>
      <c r="H524" s="16">
        <v>-84.376792330000001</v>
      </c>
      <c r="I524" s="14">
        <v>354</v>
      </c>
      <c r="J524" s="14" t="s">
        <v>20</v>
      </c>
      <c r="K524" s="17">
        <v>42886</v>
      </c>
      <c r="L524" s="17">
        <v>42919</v>
      </c>
      <c r="M524" s="18">
        <f t="shared" si="20"/>
        <v>34</v>
      </c>
      <c r="N524" s="11">
        <f t="shared" si="1"/>
        <v>34</v>
      </c>
      <c r="O524" s="15" t="s">
        <v>358</v>
      </c>
      <c r="P524" s="15" t="s">
        <v>326</v>
      </c>
    </row>
    <row r="525" spans="1:16" ht="15.75" hidden="1" customHeight="1" x14ac:dyDescent="0.2">
      <c r="A525" s="14" t="s">
        <v>334</v>
      </c>
      <c r="B525" s="7" t="s">
        <v>322</v>
      </c>
      <c r="C525" s="14" t="s">
        <v>352</v>
      </c>
      <c r="D525" s="15" t="s">
        <v>326</v>
      </c>
      <c r="E525" s="16">
        <v>787853.9</v>
      </c>
      <c r="F525" s="16">
        <v>1072469</v>
      </c>
      <c r="G525" s="16">
        <v>9.6919979999999999</v>
      </c>
      <c r="H525" s="16">
        <v>-84.376792330000001</v>
      </c>
      <c r="I525" s="14">
        <v>354</v>
      </c>
      <c r="J525" s="14" t="s">
        <v>20</v>
      </c>
      <c r="K525" s="17">
        <v>42924</v>
      </c>
      <c r="L525" s="17">
        <v>42986</v>
      </c>
      <c r="M525" s="18">
        <f t="shared" si="20"/>
        <v>63</v>
      </c>
      <c r="N525" s="11">
        <f t="shared" si="1"/>
        <v>63</v>
      </c>
      <c r="O525" s="15" t="s">
        <v>359</v>
      </c>
      <c r="P525" s="15" t="s">
        <v>326</v>
      </c>
    </row>
    <row r="526" spans="1:16" ht="15.75" hidden="1" customHeight="1" x14ac:dyDescent="0.2">
      <c r="A526" s="14" t="s">
        <v>334</v>
      </c>
      <c r="B526" s="7" t="s">
        <v>322</v>
      </c>
      <c r="C526" s="14" t="s">
        <v>352</v>
      </c>
      <c r="D526" s="15" t="s">
        <v>326</v>
      </c>
      <c r="E526" s="16">
        <v>787853.9</v>
      </c>
      <c r="F526" s="16">
        <v>1072469</v>
      </c>
      <c r="G526" s="16">
        <v>9.6919979999999999</v>
      </c>
      <c r="H526" s="16">
        <v>-84.376792330000001</v>
      </c>
      <c r="I526" s="14">
        <v>354</v>
      </c>
      <c r="J526" s="14" t="s">
        <v>20</v>
      </c>
      <c r="K526" s="17">
        <v>42986</v>
      </c>
      <c r="L526" s="17">
        <v>43016</v>
      </c>
      <c r="M526" s="18">
        <f t="shared" si="20"/>
        <v>31</v>
      </c>
      <c r="N526" s="11">
        <f t="shared" si="1"/>
        <v>31</v>
      </c>
      <c r="O526" s="15" t="s">
        <v>360</v>
      </c>
      <c r="P526" s="15" t="s">
        <v>326</v>
      </c>
    </row>
    <row r="527" spans="1:16" ht="15.75" hidden="1" customHeight="1" x14ac:dyDescent="0.2">
      <c r="A527" s="14" t="s">
        <v>334</v>
      </c>
      <c r="B527" s="7" t="s">
        <v>322</v>
      </c>
      <c r="C527" s="14" t="s">
        <v>352</v>
      </c>
      <c r="D527" s="15" t="s">
        <v>326</v>
      </c>
      <c r="E527" s="16">
        <v>787853.9</v>
      </c>
      <c r="F527" s="16">
        <v>1072469</v>
      </c>
      <c r="G527" s="16">
        <v>9.6919979999999999</v>
      </c>
      <c r="H527" s="16">
        <v>-84.376792330000001</v>
      </c>
      <c r="I527" s="14">
        <v>354</v>
      </c>
      <c r="J527" s="14" t="s">
        <v>20</v>
      </c>
      <c r="K527" s="17">
        <v>43016</v>
      </c>
      <c r="L527" s="17">
        <v>43042</v>
      </c>
      <c r="M527" s="18">
        <f t="shared" si="20"/>
        <v>27</v>
      </c>
      <c r="N527" s="11">
        <f t="shared" si="1"/>
        <v>27</v>
      </c>
      <c r="O527" s="15" t="s">
        <v>361</v>
      </c>
      <c r="P527" s="15" t="s">
        <v>326</v>
      </c>
    </row>
    <row r="528" spans="1:16" ht="15.75" hidden="1" customHeight="1" x14ac:dyDescent="0.2">
      <c r="A528" s="14" t="s">
        <v>334</v>
      </c>
      <c r="B528" s="7" t="s">
        <v>322</v>
      </c>
      <c r="C528" s="14" t="s">
        <v>352</v>
      </c>
      <c r="D528" s="15" t="s">
        <v>326</v>
      </c>
      <c r="E528" s="16">
        <v>787853.9</v>
      </c>
      <c r="F528" s="16">
        <v>1072469</v>
      </c>
      <c r="G528" s="16">
        <v>9.6919979999999999</v>
      </c>
      <c r="H528" s="16">
        <v>-84.376792330000001</v>
      </c>
      <c r="I528" s="14">
        <v>354</v>
      </c>
      <c r="J528" s="14" t="s">
        <v>20</v>
      </c>
      <c r="K528" s="17">
        <v>43042</v>
      </c>
      <c r="L528" s="17">
        <v>43095</v>
      </c>
      <c r="M528" s="18">
        <f t="shared" si="20"/>
        <v>54</v>
      </c>
      <c r="N528" s="11">
        <f t="shared" si="1"/>
        <v>54</v>
      </c>
      <c r="O528" s="15" t="s">
        <v>362</v>
      </c>
      <c r="P528" s="15" t="s">
        <v>326</v>
      </c>
    </row>
    <row r="529" spans="1:16" ht="15.75" hidden="1" customHeight="1" x14ac:dyDescent="0.2">
      <c r="A529" s="14" t="s">
        <v>334</v>
      </c>
      <c r="B529" s="7" t="s">
        <v>322</v>
      </c>
      <c r="C529" s="14" t="s">
        <v>363</v>
      </c>
      <c r="D529" s="15" t="s">
        <v>327</v>
      </c>
      <c r="E529" s="16">
        <v>785199.3</v>
      </c>
      <c r="F529" s="16">
        <v>1074223</v>
      </c>
      <c r="G529" s="16">
        <v>9.7080300000000008</v>
      </c>
      <c r="H529" s="16">
        <v>-84.400844230000004</v>
      </c>
      <c r="I529" s="14">
        <v>584</v>
      </c>
      <c r="J529" s="14" t="s">
        <v>20</v>
      </c>
      <c r="K529" s="17">
        <v>42919</v>
      </c>
      <c r="L529" s="17">
        <v>42980</v>
      </c>
      <c r="M529" s="18">
        <v>0</v>
      </c>
      <c r="N529" s="11">
        <f t="shared" si="1"/>
        <v>62</v>
      </c>
      <c r="O529" s="15" t="s">
        <v>364</v>
      </c>
      <c r="P529" s="15" t="s">
        <v>327</v>
      </c>
    </row>
    <row r="530" spans="1:16" ht="15.75" hidden="1" customHeight="1" x14ac:dyDescent="0.2">
      <c r="A530" s="14" t="s">
        <v>131</v>
      </c>
      <c r="B530" s="7" t="s">
        <v>322</v>
      </c>
      <c r="C530" s="14" t="s">
        <v>363</v>
      </c>
      <c r="D530" s="15" t="s">
        <v>327</v>
      </c>
      <c r="E530" s="16">
        <v>785199.3</v>
      </c>
      <c r="F530" s="16">
        <v>1074223</v>
      </c>
      <c r="G530" s="16">
        <v>9.7080300000000008</v>
      </c>
      <c r="H530" s="16">
        <v>-84.400844230000004</v>
      </c>
      <c r="I530" s="14">
        <v>584</v>
      </c>
      <c r="J530" s="14" t="s">
        <v>20</v>
      </c>
      <c r="K530" s="17">
        <v>42764</v>
      </c>
      <c r="L530" s="17">
        <v>42793</v>
      </c>
      <c r="M530" s="18">
        <f t="shared" ref="M530:M536" si="21">IF(ISBLANK(K530),0,IF(ISBLANK(L530),0,L530-K530+1))</f>
        <v>30</v>
      </c>
      <c r="N530" s="11">
        <f t="shared" si="1"/>
        <v>30</v>
      </c>
      <c r="O530" s="15" t="s">
        <v>365</v>
      </c>
      <c r="P530" s="15" t="s">
        <v>327</v>
      </c>
    </row>
    <row r="531" spans="1:16" ht="15.75" hidden="1" customHeight="1" x14ac:dyDescent="0.2">
      <c r="A531" s="14" t="s">
        <v>131</v>
      </c>
      <c r="B531" s="7" t="s">
        <v>322</v>
      </c>
      <c r="C531" s="14" t="s">
        <v>363</v>
      </c>
      <c r="D531" s="15" t="s">
        <v>327</v>
      </c>
      <c r="E531" s="16">
        <v>785199.3</v>
      </c>
      <c r="F531" s="16">
        <v>1074223</v>
      </c>
      <c r="G531" s="16">
        <v>9.7080300000000008</v>
      </c>
      <c r="H531" s="16">
        <v>-84.400844230000004</v>
      </c>
      <c r="I531" s="14">
        <v>584</v>
      </c>
      <c r="J531" s="14" t="s">
        <v>20</v>
      </c>
      <c r="K531" s="17">
        <v>42793</v>
      </c>
      <c r="L531" s="17">
        <v>42825</v>
      </c>
      <c r="M531" s="18">
        <f t="shared" si="21"/>
        <v>33</v>
      </c>
      <c r="N531" s="11">
        <f t="shared" si="1"/>
        <v>33</v>
      </c>
      <c r="O531" s="15" t="s">
        <v>366</v>
      </c>
      <c r="P531" s="15" t="s">
        <v>327</v>
      </c>
    </row>
    <row r="532" spans="1:16" ht="15.75" hidden="1" customHeight="1" x14ac:dyDescent="0.2">
      <c r="A532" s="14" t="s">
        <v>131</v>
      </c>
      <c r="B532" s="7" t="s">
        <v>322</v>
      </c>
      <c r="C532" s="14" t="s">
        <v>363</v>
      </c>
      <c r="D532" s="15" t="s">
        <v>327</v>
      </c>
      <c r="E532" s="16">
        <v>785199.3</v>
      </c>
      <c r="F532" s="16">
        <v>1074223</v>
      </c>
      <c r="G532" s="16">
        <v>9.7080300000000008</v>
      </c>
      <c r="H532" s="16">
        <v>-84.400844230000004</v>
      </c>
      <c r="I532" s="14">
        <v>584</v>
      </c>
      <c r="J532" s="14" t="s">
        <v>20</v>
      </c>
      <c r="K532" s="17">
        <v>42824</v>
      </c>
      <c r="L532" s="17">
        <v>42854</v>
      </c>
      <c r="M532" s="18">
        <f t="shared" si="21"/>
        <v>31</v>
      </c>
      <c r="N532" s="11">
        <f t="shared" si="1"/>
        <v>31</v>
      </c>
      <c r="O532" s="15" t="s">
        <v>367</v>
      </c>
      <c r="P532" s="15" t="s">
        <v>327</v>
      </c>
    </row>
    <row r="533" spans="1:16" ht="15.75" hidden="1" customHeight="1" x14ac:dyDescent="0.2">
      <c r="A533" s="14" t="s">
        <v>334</v>
      </c>
      <c r="B533" s="7" t="s">
        <v>322</v>
      </c>
      <c r="C533" s="14" t="s">
        <v>363</v>
      </c>
      <c r="D533" s="15" t="s">
        <v>327</v>
      </c>
      <c r="E533" s="16">
        <v>785199.3</v>
      </c>
      <c r="F533" s="16">
        <v>1074223</v>
      </c>
      <c r="G533" s="16">
        <v>9.7080300000000008</v>
      </c>
      <c r="H533" s="16">
        <v>-84.400844230000004</v>
      </c>
      <c r="I533" s="14">
        <v>584</v>
      </c>
      <c r="J533" s="14" t="s">
        <v>20</v>
      </c>
      <c r="K533" s="17">
        <v>42854</v>
      </c>
      <c r="L533" s="17">
        <v>42886</v>
      </c>
      <c r="M533" s="18">
        <f t="shared" si="21"/>
        <v>33</v>
      </c>
      <c r="N533" s="11">
        <f t="shared" si="1"/>
        <v>33</v>
      </c>
      <c r="O533" s="15" t="s">
        <v>368</v>
      </c>
      <c r="P533" s="15" t="s">
        <v>327</v>
      </c>
    </row>
    <row r="534" spans="1:16" ht="15.75" hidden="1" customHeight="1" x14ac:dyDescent="0.2">
      <c r="A534" s="14" t="s">
        <v>334</v>
      </c>
      <c r="B534" s="7" t="s">
        <v>322</v>
      </c>
      <c r="C534" s="14" t="s">
        <v>363</v>
      </c>
      <c r="D534" s="15" t="s">
        <v>327</v>
      </c>
      <c r="E534" s="16">
        <v>785199.3</v>
      </c>
      <c r="F534" s="16">
        <v>1074223</v>
      </c>
      <c r="G534" s="16">
        <v>9.7080300000000008</v>
      </c>
      <c r="H534" s="16">
        <v>-84.400844230000004</v>
      </c>
      <c r="I534" s="14">
        <v>584</v>
      </c>
      <c r="J534" s="14" t="s">
        <v>20</v>
      </c>
      <c r="K534" s="17">
        <v>42886</v>
      </c>
      <c r="L534" s="17">
        <v>42919</v>
      </c>
      <c r="M534" s="18">
        <f t="shared" si="21"/>
        <v>34</v>
      </c>
      <c r="N534" s="11">
        <f t="shared" si="1"/>
        <v>34</v>
      </c>
      <c r="O534" s="15" t="s">
        <v>369</v>
      </c>
      <c r="P534" s="15" t="s">
        <v>327</v>
      </c>
    </row>
    <row r="535" spans="1:16" ht="15.75" hidden="1" customHeight="1" x14ac:dyDescent="0.2">
      <c r="A535" s="14" t="s">
        <v>334</v>
      </c>
      <c r="B535" s="7" t="s">
        <v>322</v>
      </c>
      <c r="C535" s="14" t="s">
        <v>363</v>
      </c>
      <c r="D535" s="15" t="s">
        <v>327</v>
      </c>
      <c r="E535" s="16">
        <v>785199.3</v>
      </c>
      <c r="F535" s="16">
        <v>1074223</v>
      </c>
      <c r="G535" s="16">
        <v>9.7080300000000008</v>
      </c>
      <c r="H535" s="16">
        <v>-84.400844230000004</v>
      </c>
      <c r="I535" s="14">
        <v>584</v>
      </c>
      <c r="J535" s="14" t="s">
        <v>20</v>
      </c>
      <c r="K535" s="17">
        <v>42919</v>
      </c>
      <c r="L535" s="17">
        <v>42980</v>
      </c>
      <c r="M535" s="18">
        <f t="shared" si="21"/>
        <v>62</v>
      </c>
      <c r="N535" s="11">
        <f t="shared" si="1"/>
        <v>62</v>
      </c>
      <c r="O535" s="15" t="s">
        <v>370</v>
      </c>
      <c r="P535" s="15" t="s">
        <v>327</v>
      </c>
    </row>
    <row r="536" spans="1:16" ht="15.75" hidden="1" customHeight="1" x14ac:dyDescent="0.2">
      <c r="A536" s="14" t="s">
        <v>334</v>
      </c>
      <c r="B536" s="7" t="s">
        <v>322</v>
      </c>
      <c r="C536" s="14" t="s">
        <v>363</v>
      </c>
      <c r="D536" s="15" t="s">
        <v>327</v>
      </c>
      <c r="E536" s="16">
        <v>785199.3</v>
      </c>
      <c r="F536" s="16">
        <v>1074223</v>
      </c>
      <c r="G536" s="16">
        <v>9.7080300000000008</v>
      </c>
      <c r="H536" s="16">
        <v>-84.400844230000004</v>
      </c>
      <c r="I536" s="14">
        <v>584</v>
      </c>
      <c r="J536" s="14" t="s">
        <v>20</v>
      </c>
      <c r="K536" s="17">
        <v>42986</v>
      </c>
      <c r="L536" s="17">
        <v>43016</v>
      </c>
      <c r="M536" s="18">
        <f t="shared" si="21"/>
        <v>31</v>
      </c>
      <c r="N536" s="11">
        <f t="shared" si="1"/>
        <v>31</v>
      </c>
      <c r="O536" s="15" t="s">
        <v>371</v>
      </c>
      <c r="P536" s="15" t="s">
        <v>327</v>
      </c>
    </row>
    <row r="537" spans="1:16" ht="15.75" hidden="1" customHeight="1" x14ac:dyDescent="0.2">
      <c r="A537" s="14" t="s">
        <v>334</v>
      </c>
      <c r="B537" s="7" t="s">
        <v>322</v>
      </c>
      <c r="C537" s="14"/>
      <c r="D537" s="15" t="s">
        <v>372</v>
      </c>
      <c r="E537" s="16">
        <v>786358.44</v>
      </c>
      <c r="F537" s="16">
        <v>1074051.42</v>
      </c>
      <c r="G537" s="16">
        <v>9.7064000000000004</v>
      </c>
      <c r="H537" s="16">
        <v>-84.390299999999996</v>
      </c>
      <c r="I537" s="14">
        <v>414</v>
      </c>
      <c r="J537" s="14" t="s">
        <v>26</v>
      </c>
      <c r="K537" s="17">
        <v>42919</v>
      </c>
      <c r="L537" s="17">
        <v>43095</v>
      </c>
      <c r="M537" s="18">
        <v>0</v>
      </c>
      <c r="N537" s="11">
        <f t="shared" si="1"/>
        <v>177</v>
      </c>
      <c r="O537" s="15" t="s">
        <v>373</v>
      </c>
      <c r="P537" s="15" t="s">
        <v>372</v>
      </c>
    </row>
    <row r="538" spans="1:16" ht="15.75" hidden="1" customHeight="1" x14ac:dyDescent="0.2">
      <c r="A538" s="14" t="s">
        <v>131</v>
      </c>
      <c r="B538" s="7" t="s">
        <v>322</v>
      </c>
      <c r="C538" s="14" t="s">
        <v>374</v>
      </c>
      <c r="D538" s="15" t="s">
        <v>372</v>
      </c>
      <c r="E538" s="16">
        <v>786358</v>
      </c>
      <c r="F538" s="16">
        <v>1074051</v>
      </c>
      <c r="G538" s="16">
        <v>9.7064000000000004</v>
      </c>
      <c r="H538" s="16">
        <v>-84.390299999999996</v>
      </c>
      <c r="I538" s="14">
        <v>414</v>
      </c>
      <c r="J538" s="14" t="s">
        <v>26</v>
      </c>
      <c r="K538" s="17">
        <v>42764</v>
      </c>
      <c r="L538" s="17">
        <v>42793</v>
      </c>
      <c r="M538" s="18">
        <f t="shared" ref="M538:M600" si="22">IF(ISBLANK(K538),0,IF(ISBLANK(L538),0,L538-K538+1))</f>
        <v>30</v>
      </c>
      <c r="N538" s="11">
        <f t="shared" si="1"/>
        <v>30</v>
      </c>
      <c r="O538" s="15" t="s">
        <v>375</v>
      </c>
      <c r="P538" s="15" t="s">
        <v>372</v>
      </c>
    </row>
    <row r="539" spans="1:16" ht="15.75" hidden="1" customHeight="1" x14ac:dyDescent="0.2">
      <c r="A539" s="14" t="s">
        <v>131</v>
      </c>
      <c r="B539" s="7" t="s">
        <v>322</v>
      </c>
      <c r="C539" s="14" t="s">
        <v>374</v>
      </c>
      <c r="D539" s="15" t="s">
        <v>372</v>
      </c>
      <c r="E539" s="16">
        <v>786358</v>
      </c>
      <c r="F539" s="16">
        <v>1074051</v>
      </c>
      <c r="G539" s="16">
        <v>9.7064000000000004</v>
      </c>
      <c r="H539" s="16">
        <v>-84.390299999999996</v>
      </c>
      <c r="I539" s="14">
        <v>414</v>
      </c>
      <c r="J539" s="14" t="s">
        <v>26</v>
      </c>
      <c r="K539" s="17">
        <v>42793</v>
      </c>
      <c r="L539" s="17">
        <v>42824</v>
      </c>
      <c r="M539" s="18">
        <f t="shared" si="22"/>
        <v>32</v>
      </c>
      <c r="N539" s="11">
        <f t="shared" si="1"/>
        <v>32</v>
      </c>
      <c r="O539" s="15" t="s">
        <v>376</v>
      </c>
      <c r="P539" s="15" t="s">
        <v>372</v>
      </c>
    </row>
    <row r="540" spans="1:16" ht="15.75" hidden="1" customHeight="1" x14ac:dyDescent="0.2">
      <c r="A540" s="14" t="s">
        <v>131</v>
      </c>
      <c r="B540" s="7" t="s">
        <v>322</v>
      </c>
      <c r="C540" s="14" t="s">
        <v>374</v>
      </c>
      <c r="D540" s="15" t="s">
        <v>372</v>
      </c>
      <c r="E540" s="16">
        <v>786358</v>
      </c>
      <c r="F540" s="16">
        <v>1074051</v>
      </c>
      <c r="G540" s="16">
        <v>9.7064000000000004</v>
      </c>
      <c r="H540" s="16">
        <v>-84.390299999999996</v>
      </c>
      <c r="I540" s="14">
        <v>414</v>
      </c>
      <c r="J540" s="14" t="s">
        <v>26</v>
      </c>
      <c r="K540" s="17">
        <v>42825</v>
      </c>
      <c r="L540" s="17">
        <v>42852</v>
      </c>
      <c r="M540" s="18">
        <f t="shared" si="22"/>
        <v>28</v>
      </c>
      <c r="N540" s="11">
        <f t="shared" si="1"/>
        <v>28</v>
      </c>
      <c r="O540" s="15" t="s">
        <v>377</v>
      </c>
      <c r="P540" s="15" t="s">
        <v>372</v>
      </c>
    </row>
    <row r="541" spans="1:16" ht="15.75" hidden="1" customHeight="1" x14ac:dyDescent="0.2">
      <c r="A541" s="14" t="s">
        <v>334</v>
      </c>
      <c r="B541" s="7" t="s">
        <v>322</v>
      </c>
      <c r="C541" s="14" t="s">
        <v>374</v>
      </c>
      <c r="D541" s="15" t="s">
        <v>372</v>
      </c>
      <c r="E541" s="16">
        <v>786358</v>
      </c>
      <c r="F541" s="16">
        <v>1074051</v>
      </c>
      <c r="G541" s="16">
        <v>9.7064000000000004</v>
      </c>
      <c r="H541" s="16">
        <v>-84.390299999999996</v>
      </c>
      <c r="I541" s="14">
        <v>414</v>
      </c>
      <c r="J541" s="14" t="s">
        <v>26</v>
      </c>
      <c r="K541" s="17">
        <v>42854</v>
      </c>
      <c r="L541" s="17">
        <v>42886</v>
      </c>
      <c r="M541" s="18">
        <f t="shared" si="22"/>
        <v>33</v>
      </c>
      <c r="N541" s="11">
        <f t="shared" si="1"/>
        <v>33</v>
      </c>
      <c r="O541" s="15" t="s">
        <v>378</v>
      </c>
      <c r="P541" s="15" t="s">
        <v>372</v>
      </c>
    </row>
    <row r="542" spans="1:16" ht="15.75" hidden="1" customHeight="1" x14ac:dyDescent="0.2">
      <c r="A542" s="14" t="s">
        <v>334</v>
      </c>
      <c r="B542" s="7" t="s">
        <v>322</v>
      </c>
      <c r="C542" s="14" t="s">
        <v>374</v>
      </c>
      <c r="D542" s="15" t="s">
        <v>372</v>
      </c>
      <c r="E542" s="16">
        <v>786358</v>
      </c>
      <c r="F542" s="16">
        <v>1074051</v>
      </c>
      <c r="G542" s="16">
        <v>9.7064000000000004</v>
      </c>
      <c r="H542" s="16">
        <v>-84.390299999999996</v>
      </c>
      <c r="I542" s="14">
        <v>414</v>
      </c>
      <c r="J542" s="14" t="s">
        <v>26</v>
      </c>
      <c r="K542" s="17">
        <v>42886</v>
      </c>
      <c r="L542" s="17">
        <v>42919</v>
      </c>
      <c r="M542" s="18">
        <f t="shared" si="22"/>
        <v>34</v>
      </c>
      <c r="N542" s="11">
        <f t="shared" si="1"/>
        <v>34</v>
      </c>
      <c r="O542" s="15" t="s">
        <v>379</v>
      </c>
      <c r="P542" s="15" t="s">
        <v>372</v>
      </c>
    </row>
    <row r="543" spans="1:16" ht="15.75" hidden="1" customHeight="1" x14ac:dyDescent="0.2">
      <c r="A543" s="14" t="s">
        <v>334</v>
      </c>
      <c r="B543" s="7" t="s">
        <v>322</v>
      </c>
      <c r="C543" s="14" t="s">
        <v>374</v>
      </c>
      <c r="D543" s="15" t="s">
        <v>372</v>
      </c>
      <c r="E543" s="16">
        <v>786358</v>
      </c>
      <c r="F543" s="16">
        <v>1074051</v>
      </c>
      <c r="G543" s="16">
        <v>9.7064000000000004</v>
      </c>
      <c r="H543" s="16">
        <v>-84.390299999999996</v>
      </c>
      <c r="I543" s="14">
        <v>414</v>
      </c>
      <c r="J543" s="14" t="s">
        <v>26</v>
      </c>
      <c r="K543" s="17">
        <v>42919</v>
      </c>
      <c r="L543" s="17">
        <v>42986</v>
      </c>
      <c r="M543" s="18">
        <f t="shared" si="22"/>
        <v>68</v>
      </c>
      <c r="N543" s="11">
        <f t="shared" si="1"/>
        <v>68</v>
      </c>
      <c r="O543" s="15" t="s">
        <v>380</v>
      </c>
      <c r="P543" s="15" t="s">
        <v>372</v>
      </c>
    </row>
    <row r="544" spans="1:16" ht="15.75" hidden="1" customHeight="1" x14ac:dyDescent="0.2">
      <c r="A544" s="14" t="s">
        <v>334</v>
      </c>
      <c r="B544" s="7" t="s">
        <v>322</v>
      </c>
      <c r="C544" s="14" t="s">
        <v>374</v>
      </c>
      <c r="D544" s="15" t="s">
        <v>372</v>
      </c>
      <c r="E544" s="16">
        <v>786358</v>
      </c>
      <c r="F544" s="16">
        <v>1074051</v>
      </c>
      <c r="G544" s="16">
        <v>9.7064000000000004</v>
      </c>
      <c r="H544" s="16">
        <v>-84.390299999999996</v>
      </c>
      <c r="I544" s="14">
        <v>414</v>
      </c>
      <c r="J544" s="14" t="s">
        <v>26</v>
      </c>
      <c r="K544" s="17">
        <v>42995</v>
      </c>
      <c r="L544" s="17">
        <v>43007</v>
      </c>
      <c r="M544" s="18">
        <f t="shared" si="22"/>
        <v>13</v>
      </c>
      <c r="N544" s="11">
        <f t="shared" si="1"/>
        <v>13</v>
      </c>
      <c r="O544" s="15" t="s">
        <v>381</v>
      </c>
      <c r="P544" s="15" t="s">
        <v>372</v>
      </c>
    </row>
    <row r="545" spans="1:16" ht="15.75" hidden="1" customHeight="1" x14ac:dyDescent="0.2">
      <c r="A545" s="14" t="s">
        <v>346</v>
      </c>
      <c r="B545" s="7" t="s">
        <v>322</v>
      </c>
      <c r="C545" s="14" t="s">
        <v>374</v>
      </c>
      <c r="D545" s="15" t="s">
        <v>372</v>
      </c>
      <c r="E545" s="16">
        <v>786358</v>
      </c>
      <c r="F545" s="16">
        <v>1074051</v>
      </c>
      <c r="G545" s="16">
        <v>9.7064000000000004</v>
      </c>
      <c r="H545" s="16">
        <v>-84.390299999999996</v>
      </c>
      <c r="I545" s="14">
        <v>414</v>
      </c>
      <c r="J545" s="14" t="s">
        <v>26</v>
      </c>
      <c r="K545" s="17">
        <v>43016</v>
      </c>
      <c r="L545" s="17">
        <v>43042</v>
      </c>
      <c r="M545" s="18">
        <f t="shared" si="22"/>
        <v>27</v>
      </c>
      <c r="N545" s="11">
        <f t="shared" si="1"/>
        <v>27</v>
      </c>
      <c r="O545" s="15" t="s">
        <v>382</v>
      </c>
      <c r="P545" s="15" t="s">
        <v>372</v>
      </c>
    </row>
    <row r="546" spans="1:16" ht="15.75" hidden="1" customHeight="1" x14ac:dyDescent="0.2">
      <c r="A546" s="14" t="s">
        <v>346</v>
      </c>
      <c r="B546" s="7" t="s">
        <v>322</v>
      </c>
      <c r="C546" s="14" t="s">
        <v>374</v>
      </c>
      <c r="D546" s="15" t="s">
        <v>372</v>
      </c>
      <c r="E546" s="16">
        <v>786358</v>
      </c>
      <c r="F546" s="16">
        <v>1074051</v>
      </c>
      <c r="G546" s="16">
        <v>9.7064000000000004</v>
      </c>
      <c r="H546" s="16">
        <v>-84.390299999999996</v>
      </c>
      <c r="I546" s="14">
        <v>414</v>
      </c>
      <c r="J546" s="14" t="s">
        <v>26</v>
      </c>
      <c r="K546" s="17">
        <v>43042</v>
      </c>
      <c r="L546" s="17">
        <v>43095</v>
      </c>
      <c r="M546" s="18">
        <f t="shared" si="22"/>
        <v>54</v>
      </c>
      <c r="N546" s="11">
        <f t="shared" si="1"/>
        <v>54</v>
      </c>
      <c r="O546" s="15" t="s">
        <v>383</v>
      </c>
      <c r="P546" s="15" t="s">
        <v>372</v>
      </c>
    </row>
    <row r="547" spans="1:16" ht="15.75" hidden="1" customHeight="1" x14ac:dyDescent="0.2">
      <c r="A547" s="7" t="s">
        <v>334</v>
      </c>
      <c r="B547" s="7" t="s">
        <v>322</v>
      </c>
      <c r="C547" s="14" t="s">
        <v>328</v>
      </c>
      <c r="D547" s="15" t="s">
        <v>324</v>
      </c>
      <c r="E547" s="16">
        <v>786170.4</v>
      </c>
      <c r="F547" s="16">
        <v>1073353</v>
      </c>
      <c r="G547" s="16">
        <v>9.7001019999999993</v>
      </c>
      <c r="H547" s="16">
        <v>-84.392060999999998</v>
      </c>
      <c r="I547" s="14">
        <v>338</v>
      </c>
      <c r="J547" s="14" t="s">
        <v>329</v>
      </c>
      <c r="K547" s="17">
        <v>43097</v>
      </c>
      <c r="L547" s="17">
        <v>43134</v>
      </c>
      <c r="M547" s="18">
        <f t="shared" si="22"/>
        <v>38</v>
      </c>
      <c r="N547" s="11">
        <f t="shared" si="1"/>
        <v>38</v>
      </c>
      <c r="O547" s="15" t="s">
        <v>384</v>
      </c>
      <c r="P547" s="15" t="s">
        <v>324</v>
      </c>
    </row>
    <row r="548" spans="1:16" ht="15.75" hidden="1" customHeight="1" x14ac:dyDescent="0.2">
      <c r="A548" s="14" t="s">
        <v>385</v>
      </c>
      <c r="B548" s="7" t="s">
        <v>322</v>
      </c>
      <c r="C548" s="14" t="s">
        <v>328</v>
      </c>
      <c r="D548" s="15" t="s">
        <v>324</v>
      </c>
      <c r="E548" s="16">
        <v>786170.4</v>
      </c>
      <c r="F548" s="16">
        <v>1073353</v>
      </c>
      <c r="G548" s="16">
        <v>9.7001019999999993</v>
      </c>
      <c r="H548" s="16">
        <v>-84.392060999999998</v>
      </c>
      <c r="I548" s="14">
        <v>338</v>
      </c>
      <c r="J548" s="14" t="s">
        <v>329</v>
      </c>
      <c r="K548" s="17">
        <v>43134</v>
      </c>
      <c r="L548" s="17">
        <v>43195</v>
      </c>
      <c r="M548" s="18">
        <f t="shared" si="22"/>
        <v>62</v>
      </c>
      <c r="N548" s="11">
        <f t="shared" si="1"/>
        <v>62</v>
      </c>
      <c r="O548" s="15" t="s">
        <v>386</v>
      </c>
      <c r="P548" s="15" t="s">
        <v>324</v>
      </c>
    </row>
    <row r="549" spans="1:16" ht="15.75" hidden="1" customHeight="1" x14ac:dyDescent="0.2">
      <c r="A549" s="14" t="s">
        <v>385</v>
      </c>
      <c r="B549" s="7" t="s">
        <v>322</v>
      </c>
      <c r="C549" s="14" t="s">
        <v>328</v>
      </c>
      <c r="D549" s="15" t="s">
        <v>324</v>
      </c>
      <c r="E549" s="16">
        <v>786170.4</v>
      </c>
      <c r="F549" s="16">
        <v>1073353</v>
      </c>
      <c r="G549" s="16">
        <v>9.7001019999999993</v>
      </c>
      <c r="H549" s="16">
        <v>-84.392060999999998</v>
      </c>
      <c r="I549" s="14">
        <v>338</v>
      </c>
      <c r="J549" s="14" t="s">
        <v>329</v>
      </c>
      <c r="K549" s="17">
        <v>43195</v>
      </c>
      <c r="L549" s="17">
        <v>43203</v>
      </c>
      <c r="M549" s="18">
        <f t="shared" si="22"/>
        <v>9</v>
      </c>
      <c r="N549" s="11">
        <f t="shared" si="1"/>
        <v>9</v>
      </c>
      <c r="O549" s="15" t="s">
        <v>387</v>
      </c>
      <c r="P549" s="15" t="s">
        <v>324</v>
      </c>
    </row>
    <row r="550" spans="1:16" ht="15.75" hidden="1" customHeight="1" x14ac:dyDescent="0.2">
      <c r="A550" s="14" t="s">
        <v>385</v>
      </c>
      <c r="B550" s="7" t="s">
        <v>322</v>
      </c>
      <c r="C550" s="14" t="s">
        <v>328</v>
      </c>
      <c r="D550" s="15" t="s">
        <v>324</v>
      </c>
      <c r="E550" s="16">
        <v>786170.4</v>
      </c>
      <c r="F550" s="16">
        <v>1073353</v>
      </c>
      <c r="G550" s="16">
        <v>9.7001019999999993</v>
      </c>
      <c r="H550" s="16">
        <v>-84.392060999999998</v>
      </c>
      <c r="I550" s="14">
        <v>338</v>
      </c>
      <c r="J550" s="14" t="s">
        <v>329</v>
      </c>
      <c r="K550" s="17">
        <v>43243</v>
      </c>
      <c r="L550" s="17">
        <v>43288</v>
      </c>
      <c r="M550" s="18">
        <f t="shared" si="22"/>
        <v>46</v>
      </c>
      <c r="N550" s="11">
        <f t="shared" si="1"/>
        <v>46</v>
      </c>
      <c r="O550" s="15" t="s">
        <v>388</v>
      </c>
      <c r="P550" s="15" t="s">
        <v>324</v>
      </c>
    </row>
    <row r="551" spans="1:16" ht="15.75" hidden="1" customHeight="1" x14ac:dyDescent="0.2">
      <c r="A551" s="14" t="s">
        <v>385</v>
      </c>
      <c r="B551" s="7" t="s">
        <v>322</v>
      </c>
      <c r="C551" s="14" t="s">
        <v>328</v>
      </c>
      <c r="D551" s="15" t="s">
        <v>324</v>
      </c>
      <c r="E551" s="16">
        <v>786170.4</v>
      </c>
      <c r="F551" s="16">
        <v>1073353</v>
      </c>
      <c r="G551" s="16">
        <v>9.7001019999999993</v>
      </c>
      <c r="H551" s="16">
        <v>-84.392060999999998</v>
      </c>
      <c r="I551" s="14">
        <v>338</v>
      </c>
      <c r="J551" s="14" t="s">
        <v>329</v>
      </c>
      <c r="K551" s="17">
        <v>43288</v>
      </c>
      <c r="L551" s="17">
        <v>43319</v>
      </c>
      <c r="M551" s="18">
        <f t="shared" si="22"/>
        <v>32</v>
      </c>
      <c r="N551" s="11">
        <f t="shared" si="1"/>
        <v>32</v>
      </c>
      <c r="O551" s="15" t="s">
        <v>389</v>
      </c>
      <c r="P551" s="15" t="s">
        <v>324</v>
      </c>
    </row>
    <row r="552" spans="1:16" ht="15.75" hidden="1" customHeight="1" x14ac:dyDescent="0.2">
      <c r="A552" s="14" t="s">
        <v>385</v>
      </c>
      <c r="B552" s="7" t="s">
        <v>322</v>
      </c>
      <c r="C552" s="14" t="s">
        <v>328</v>
      </c>
      <c r="D552" s="15" t="s">
        <v>324</v>
      </c>
      <c r="E552" s="16">
        <v>786170.4</v>
      </c>
      <c r="F552" s="16">
        <v>1073353</v>
      </c>
      <c r="G552" s="16">
        <v>9.7001019999999993</v>
      </c>
      <c r="H552" s="16">
        <v>-84.392060999999998</v>
      </c>
      <c r="I552" s="14">
        <v>338</v>
      </c>
      <c r="J552" s="14" t="s">
        <v>329</v>
      </c>
      <c r="K552" s="17">
        <v>43351</v>
      </c>
      <c r="L552" s="17">
        <v>43372</v>
      </c>
      <c r="M552" s="18">
        <f t="shared" si="22"/>
        <v>22</v>
      </c>
      <c r="N552" s="11">
        <f t="shared" si="1"/>
        <v>22</v>
      </c>
      <c r="O552" s="15" t="s">
        <v>390</v>
      </c>
      <c r="P552" s="15" t="s">
        <v>324</v>
      </c>
    </row>
    <row r="553" spans="1:16" ht="15.75" hidden="1" customHeight="1" x14ac:dyDescent="0.2">
      <c r="A553" s="14" t="s">
        <v>385</v>
      </c>
      <c r="B553" s="7" t="s">
        <v>322</v>
      </c>
      <c r="C553" s="14" t="s">
        <v>328</v>
      </c>
      <c r="D553" s="15" t="s">
        <v>324</v>
      </c>
      <c r="E553" s="16">
        <v>786170.4</v>
      </c>
      <c r="F553" s="16">
        <v>1073353</v>
      </c>
      <c r="G553" s="16">
        <v>9.7001019999999993</v>
      </c>
      <c r="H553" s="16">
        <v>-84.392060999999998</v>
      </c>
      <c r="I553" s="14">
        <v>338</v>
      </c>
      <c r="J553" s="14" t="s">
        <v>329</v>
      </c>
      <c r="K553" s="17">
        <v>43393</v>
      </c>
      <c r="L553" s="17">
        <v>43464</v>
      </c>
      <c r="M553" s="18">
        <f t="shared" si="22"/>
        <v>72</v>
      </c>
      <c r="N553" s="11">
        <f t="shared" si="1"/>
        <v>72</v>
      </c>
      <c r="O553" s="15" t="s">
        <v>391</v>
      </c>
      <c r="P553" s="15" t="s">
        <v>324</v>
      </c>
    </row>
    <row r="554" spans="1:16" ht="15.75" hidden="1" customHeight="1" x14ac:dyDescent="0.2">
      <c r="A554" s="14" t="s">
        <v>385</v>
      </c>
      <c r="B554" s="7" t="s">
        <v>322</v>
      </c>
      <c r="C554" s="14" t="s">
        <v>341</v>
      </c>
      <c r="D554" s="15" t="s">
        <v>325</v>
      </c>
      <c r="E554" s="16">
        <v>786886.9</v>
      </c>
      <c r="F554" s="16">
        <v>1073236</v>
      </c>
      <c r="G554" s="16">
        <v>9.698995</v>
      </c>
      <c r="H554" s="16">
        <v>-84.385544530000004</v>
      </c>
      <c r="I554" s="14">
        <v>445</v>
      </c>
      <c r="J554" s="14" t="s">
        <v>20</v>
      </c>
      <c r="K554" s="17">
        <v>43099</v>
      </c>
      <c r="L554" s="17">
        <v>43106</v>
      </c>
      <c r="M554" s="18">
        <f t="shared" si="22"/>
        <v>8</v>
      </c>
      <c r="N554" s="11">
        <f t="shared" si="1"/>
        <v>8</v>
      </c>
      <c r="O554" s="15" t="s">
        <v>392</v>
      </c>
      <c r="P554" s="15" t="s">
        <v>325</v>
      </c>
    </row>
    <row r="555" spans="1:16" ht="15.75" hidden="1" customHeight="1" x14ac:dyDescent="0.2">
      <c r="A555" s="14" t="s">
        <v>385</v>
      </c>
      <c r="B555" s="7" t="s">
        <v>322</v>
      </c>
      <c r="C555" s="14" t="s">
        <v>341</v>
      </c>
      <c r="D555" s="15" t="s">
        <v>325</v>
      </c>
      <c r="E555" s="16">
        <v>786886.9</v>
      </c>
      <c r="F555" s="16">
        <v>1073236</v>
      </c>
      <c r="G555" s="16">
        <v>9.698995</v>
      </c>
      <c r="H555" s="16">
        <v>-84.385544530000004</v>
      </c>
      <c r="I555" s="14">
        <v>445</v>
      </c>
      <c r="J555" s="14" t="s">
        <v>20</v>
      </c>
      <c r="K555" s="17">
        <v>43134</v>
      </c>
      <c r="L555" s="17">
        <v>43194</v>
      </c>
      <c r="M555" s="18">
        <f t="shared" si="22"/>
        <v>61</v>
      </c>
      <c r="N555" s="11">
        <f t="shared" si="1"/>
        <v>61</v>
      </c>
      <c r="O555" s="15" t="s">
        <v>393</v>
      </c>
      <c r="P555" s="15" t="s">
        <v>325</v>
      </c>
    </row>
    <row r="556" spans="1:16" ht="15.75" hidden="1" customHeight="1" x14ac:dyDescent="0.2">
      <c r="A556" s="14" t="s">
        <v>385</v>
      </c>
      <c r="B556" s="7" t="s">
        <v>322</v>
      </c>
      <c r="C556" s="14" t="s">
        <v>341</v>
      </c>
      <c r="D556" s="15" t="s">
        <v>325</v>
      </c>
      <c r="E556" s="16">
        <v>786886.9</v>
      </c>
      <c r="F556" s="16">
        <v>1073236</v>
      </c>
      <c r="G556" s="16">
        <v>9.698995</v>
      </c>
      <c r="H556" s="16">
        <v>-84.385544530000004</v>
      </c>
      <c r="I556" s="14">
        <v>445</v>
      </c>
      <c r="J556" s="14" t="s">
        <v>20</v>
      </c>
      <c r="K556" s="17">
        <v>43240</v>
      </c>
      <c r="L556" s="17">
        <v>43288</v>
      </c>
      <c r="M556" s="18">
        <f t="shared" si="22"/>
        <v>49</v>
      </c>
      <c r="N556" s="11">
        <f t="shared" si="1"/>
        <v>49</v>
      </c>
      <c r="O556" s="15" t="s">
        <v>394</v>
      </c>
      <c r="P556" s="15" t="s">
        <v>325</v>
      </c>
    </row>
    <row r="557" spans="1:16" ht="15.75" hidden="1" customHeight="1" x14ac:dyDescent="0.2">
      <c r="A557" s="14" t="s">
        <v>385</v>
      </c>
      <c r="B557" s="7" t="s">
        <v>322</v>
      </c>
      <c r="C557" s="14" t="s">
        <v>341</v>
      </c>
      <c r="D557" s="15" t="s">
        <v>325</v>
      </c>
      <c r="E557" s="16">
        <v>786886.9</v>
      </c>
      <c r="F557" s="16">
        <v>1073236</v>
      </c>
      <c r="G557" s="16">
        <v>9.698995</v>
      </c>
      <c r="H557" s="16">
        <v>-84.385544530000004</v>
      </c>
      <c r="I557" s="14">
        <v>445</v>
      </c>
      <c r="J557" s="14" t="s">
        <v>20</v>
      </c>
      <c r="K557" s="17">
        <v>43288</v>
      </c>
      <c r="L557" s="17">
        <v>43318</v>
      </c>
      <c r="M557" s="18">
        <f t="shared" si="22"/>
        <v>31</v>
      </c>
      <c r="N557" s="11">
        <f t="shared" si="1"/>
        <v>31</v>
      </c>
      <c r="O557" s="15" t="s">
        <v>395</v>
      </c>
      <c r="P557" s="15" t="s">
        <v>325</v>
      </c>
    </row>
    <row r="558" spans="1:16" ht="15.75" hidden="1" customHeight="1" x14ac:dyDescent="0.2">
      <c r="A558" s="14" t="s">
        <v>385</v>
      </c>
      <c r="B558" s="7" t="s">
        <v>322</v>
      </c>
      <c r="C558" s="14" t="s">
        <v>341</v>
      </c>
      <c r="D558" s="15" t="s">
        <v>325</v>
      </c>
      <c r="E558" s="16">
        <v>786886.9</v>
      </c>
      <c r="F558" s="16">
        <v>1073236</v>
      </c>
      <c r="G558" s="16">
        <v>9.698995</v>
      </c>
      <c r="H558" s="16">
        <v>-84.385544530000004</v>
      </c>
      <c r="I558" s="14">
        <v>445</v>
      </c>
      <c r="J558" s="14" t="s">
        <v>20</v>
      </c>
      <c r="K558" s="17">
        <v>43318</v>
      </c>
      <c r="L558" s="17">
        <v>43349</v>
      </c>
      <c r="M558" s="18">
        <f t="shared" si="22"/>
        <v>32</v>
      </c>
      <c r="N558" s="11">
        <f t="shared" si="1"/>
        <v>32</v>
      </c>
      <c r="O558" s="15" t="s">
        <v>396</v>
      </c>
      <c r="P558" s="15" t="s">
        <v>325</v>
      </c>
    </row>
    <row r="559" spans="1:16" ht="15.75" hidden="1" customHeight="1" x14ac:dyDescent="0.2">
      <c r="A559" s="14" t="s">
        <v>385</v>
      </c>
      <c r="B559" s="7" t="s">
        <v>322</v>
      </c>
      <c r="C559" s="14" t="s">
        <v>341</v>
      </c>
      <c r="D559" s="15" t="s">
        <v>325</v>
      </c>
      <c r="E559" s="16">
        <v>786886.9</v>
      </c>
      <c r="F559" s="16">
        <v>1073236</v>
      </c>
      <c r="G559" s="16">
        <v>9.698995</v>
      </c>
      <c r="H559" s="16">
        <v>-84.385544530000004</v>
      </c>
      <c r="I559" s="14">
        <v>445</v>
      </c>
      <c r="J559" s="14" t="s">
        <v>20</v>
      </c>
      <c r="K559" s="17">
        <v>43349</v>
      </c>
      <c r="L559" s="17">
        <v>43389</v>
      </c>
      <c r="M559" s="18">
        <f t="shared" si="22"/>
        <v>41</v>
      </c>
      <c r="N559" s="11">
        <f t="shared" si="1"/>
        <v>41</v>
      </c>
      <c r="O559" s="15" t="s">
        <v>397</v>
      </c>
      <c r="P559" s="15" t="s">
        <v>325</v>
      </c>
    </row>
    <row r="560" spans="1:16" ht="15.75" hidden="1" customHeight="1" x14ac:dyDescent="0.2">
      <c r="A560" s="14" t="s">
        <v>385</v>
      </c>
      <c r="B560" s="7" t="s">
        <v>322</v>
      </c>
      <c r="C560" s="14" t="s">
        <v>341</v>
      </c>
      <c r="D560" s="15" t="s">
        <v>325</v>
      </c>
      <c r="E560" s="16">
        <v>786886.9</v>
      </c>
      <c r="F560" s="16">
        <v>1073236</v>
      </c>
      <c r="G560" s="16">
        <v>9.698995</v>
      </c>
      <c r="H560" s="16">
        <v>-84.385544530000004</v>
      </c>
      <c r="I560" s="14">
        <v>445</v>
      </c>
      <c r="J560" s="14" t="s">
        <v>20</v>
      </c>
      <c r="K560" s="17">
        <v>43389</v>
      </c>
      <c r="L560" s="17">
        <v>43465</v>
      </c>
      <c r="M560" s="18">
        <f t="shared" si="22"/>
        <v>77</v>
      </c>
      <c r="N560" s="11">
        <f t="shared" si="1"/>
        <v>77</v>
      </c>
      <c r="O560" s="15" t="s">
        <v>398</v>
      </c>
      <c r="P560" s="15" t="s">
        <v>325</v>
      </c>
    </row>
    <row r="561" spans="1:16" ht="15.75" hidden="1" customHeight="1" x14ac:dyDescent="0.2">
      <c r="A561" s="14" t="s">
        <v>385</v>
      </c>
      <c r="B561" s="7" t="s">
        <v>322</v>
      </c>
      <c r="C561" s="14" t="s">
        <v>352</v>
      </c>
      <c r="D561" s="15" t="s">
        <v>326</v>
      </c>
      <c r="E561" s="16">
        <v>787853.9</v>
      </c>
      <c r="F561" s="16">
        <v>1072469</v>
      </c>
      <c r="G561" s="16">
        <v>9.6919979999999999</v>
      </c>
      <c r="H561" s="16">
        <v>-84.376792330000001</v>
      </c>
      <c r="I561" s="14">
        <v>354</v>
      </c>
      <c r="J561" s="14" t="s">
        <v>20</v>
      </c>
      <c r="K561" s="17">
        <v>43134</v>
      </c>
      <c r="L561" s="17">
        <v>43194</v>
      </c>
      <c r="M561" s="18">
        <f t="shared" si="22"/>
        <v>61</v>
      </c>
      <c r="N561" s="11">
        <f t="shared" si="1"/>
        <v>61</v>
      </c>
      <c r="O561" s="15" t="s">
        <v>399</v>
      </c>
      <c r="P561" s="15" t="s">
        <v>326</v>
      </c>
    </row>
    <row r="562" spans="1:16" ht="15.75" hidden="1" customHeight="1" x14ac:dyDescent="0.2">
      <c r="A562" s="14" t="s">
        <v>385</v>
      </c>
      <c r="B562" s="7" t="s">
        <v>322</v>
      </c>
      <c r="C562" s="14" t="s">
        <v>352</v>
      </c>
      <c r="D562" s="15" t="s">
        <v>326</v>
      </c>
      <c r="E562" s="16">
        <v>787853.9</v>
      </c>
      <c r="F562" s="16">
        <v>1072469</v>
      </c>
      <c r="G562" s="16">
        <v>9.6919979999999999</v>
      </c>
      <c r="H562" s="16">
        <v>-84.376792330000001</v>
      </c>
      <c r="I562" s="14">
        <v>354</v>
      </c>
      <c r="J562" s="14" t="s">
        <v>20</v>
      </c>
      <c r="K562" s="17">
        <v>43240</v>
      </c>
      <c r="L562" s="17">
        <v>43288</v>
      </c>
      <c r="M562" s="18">
        <f t="shared" si="22"/>
        <v>49</v>
      </c>
      <c r="N562" s="11">
        <f t="shared" si="1"/>
        <v>49</v>
      </c>
      <c r="O562" s="15" t="s">
        <v>400</v>
      </c>
      <c r="P562" s="15" t="s">
        <v>326</v>
      </c>
    </row>
    <row r="563" spans="1:16" ht="15.75" hidden="1" customHeight="1" x14ac:dyDescent="0.2">
      <c r="A563" s="14" t="s">
        <v>385</v>
      </c>
      <c r="B563" s="7" t="s">
        <v>322</v>
      </c>
      <c r="C563" s="14" t="s">
        <v>352</v>
      </c>
      <c r="D563" s="15" t="s">
        <v>326</v>
      </c>
      <c r="E563" s="16">
        <v>787853.9</v>
      </c>
      <c r="F563" s="16">
        <v>1072469</v>
      </c>
      <c r="G563" s="16">
        <v>9.6919979999999999</v>
      </c>
      <c r="H563" s="16">
        <v>-84.376792330000001</v>
      </c>
      <c r="I563" s="14">
        <v>354</v>
      </c>
      <c r="J563" s="14" t="s">
        <v>20</v>
      </c>
      <c r="K563" s="17">
        <v>43349</v>
      </c>
      <c r="L563" s="17">
        <v>43389</v>
      </c>
      <c r="M563" s="18">
        <f t="shared" si="22"/>
        <v>41</v>
      </c>
      <c r="N563" s="11">
        <f t="shared" si="1"/>
        <v>41</v>
      </c>
      <c r="O563" s="15" t="s">
        <v>401</v>
      </c>
      <c r="P563" s="15" t="s">
        <v>326</v>
      </c>
    </row>
    <row r="564" spans="1:16" ht="15.75" hidden="1" customHeight="1" x14ac:dyDescent="0.2">
      <c r="A564" s="14" t="s">
        <v>385</v>
      </c>
      <c r="B564" s="7" t="s">
        <v>322</v>
      </c>
      <c r="C564" s="14" t="s">
        <v>363</v>
      </c>
      <c r="D564" s="15" t="s">
        <v>327</v>
      </c>
      <c r="E564" s="16">
        <v>785199.3</v>
      </c>
      <c r="F564" s="16">
        <v>1074223</v>
      </c>
      <c r="G564" s="16">
        <v>9.7080300000000008</v>
      </c>
      <c r="H564" s="16">
        <v>-84.400844230000004</v>
      </c>
      <c r="I564" s="14">
        <v>584</v>
      </c>
      <c r="J564" s="14" t="s">
        <v>20</v>
      </c>
      <c r="K564" s="17">
        <v>43103</v>
      </c>
      <c r="L564" s="17">
        <v>43134</v>
      </c>
      <c r="M564" s="18">
        <f t="shared" si="22"/>
        <v>32</v>
      </c>
      <c r="N564" s="11">
        <f t="shared" si="1"/>
        <v>32</v>
      </c>
      <c r="O564" s="15" t="s">
        <v>402</v>
      </c>
      <c r="P564" s="15" t="s">
        <v>327</v>
      </c>
    </row>
    <row r="565" spans="1:16" ht="15.75" hidden="1" customHeight="1" x14ac:dyDescent="0.2">
      <c r="A565" s="14" t="s">
        <v>385</v>
      </c>
      <c r="B565" s="7" t="s">
        <v>322</v>
      </c>
      <c r="C565" s="14" t="s">
        <v>363</v>
      </c>
      <c r="D565" s="15" t="s">
        <v>327</v>
      </c>
      <c r="E565" s="16">
        <v>785199.3</v>
      </c>
      <c r="F565" s="16">
        <v>1074223</v>
      </c>
      <c r="G565" s="16">
        <v>9.7080300000000008</v>
      </c>
      <c r="H565" s="16">
        <v>-84.400844230000004</v>
      </c>
      <c r="I565" s="14">
        <v>584</v>
      </c>
      <c r="J565" s="14" t="s">
        <v>20</v>
      </c>
      <c r="K565" s="17">
        <v>43134</v>
      </c>
      <c r="L565" s="17">
        <v>43194</v>
      </c>
      <c r="M565" s="18">
        <f t="shared" si="22"/>
        <v>61</v>
      </c>
      <c r="N565" s="11">
        <f t="shared" si="1"/>
        <v>61</v>
      </c>
      <c r="O565" s="15" t="s">
        <v>403</v>
      </c>
      <c r="P565" s="15" t="s">
        <v>327</v>
      </c>
    </row>
    <row r="566" spans="1:16" ht="15.75" hidden="1" customHeight="1" x14ac:dyDescent="0.2">
      <c r="A566" s="14" t="s">
        <v>385</v>
      </c>
      <c r="B566" s="7" t="s">
        <v>322</v>
      </c>
      <c r="C566" s="14" t="s">
        <v>363</v>
      </c>
      <c r="D566" s="15" t="s">
        <v>327</v>
      </c>
      <c r="E566" s="16">
        <v>785199.3</v>
      </c>
      <c r="F566" s="16">
        <v>1074223</v>
      </c>
      <c r="G566" s="16">
        <v>9.7080300000000008</v>
      </c>
      <c r="H566" s="16">
        <v>-84.400844230000004</v>
      </c>
      <c r="I566" s="14">
        <v>584</v>
      </c>
      <c r="J566" s="14" t="s">
        <v>20</v>
      </c>
      <c r="K566" s="17">
        <v>43243</v>
      </c>
      <c r="L566" s="17">
        <v>43288</v>
      </c>
      <c r="M566" s="18">
        <f t="shared" si="22"/>
        <v>46</v>
      </c>
      <c r="N566" s="11">
        <f t="shared" si="1"/>
        <v>46</v>
      </c>
      <c r="O566" s="15" t="s">
        <v>404</v>
      </c>
      <c r="P566" s="15" t="s">
        <v>327</v>
      </c>
    </row>
    <row r="567" spans="1:16" ht="15.75" hidden="1" customHeight="1" x14ac:dyDescent="0.2">
      <c r="A567" s="14" t="s">
        <v>385</v>
      </c>
      <c r="B567" s="7" t="s">
        <v>322</v>
      </c>
      <c r="C567" s="14" t="s">
        <v>363</v>
      </c>
      <c r="D567" s="15" t="s">
        <v>327</v>
      </c>
      <c r="E567" s="16">
        <v>785199.3</v>
      </c>
      <c r="F567" s="16">
        <v>1074223</v>
      </c>
      <c r="G567" s="16">
        <v>9.7080300000000008</v>
      </c>
      <c r="H567" s="16">
        <v>-84.400844230000004</v>
      </c>
      <c r="I567" s="14">
        <v>584</v>
      </c>
      <c r="J567" s="14" t="s">
        <v>20</v>
      </c>
      <c r="K567" s="17">
        <v>43288</v>
      </c>
      <c r="L567" s="17">
        <v>43349</v>
      </c>
      <c r="M567" s="18">
        <f t="shared" si="22"/>
        <v>62</v>
      </c>
      <c r="N567" s="11">
        <f t="shared" si="1"/>
        <v>62</v>
      </c>
      <c r="O567" s="15" t="s">
        <v>405</v>
      </c>
      <c r="P567" s="15" t="s">
        <v>327</v>
      </c>
    </row>
    <row r="568" spans="1:16" ht="15.75" hidden="1" customHeight="1" x14ac:dyDescent="0.2">
      <c r="A568" s="14" t="s">
        <v>385</v>
      </c>
      <c r="B568" s="7" t="s">
        <v>322</v>
      </c>
      <c r="C568" s="14" t="s">
        <v>374</v>
      </c>
      <c r="D568" s="15" t="s">
        <v>372</v>
      </c>
      <c r="E568" s="16">
        <v>786358</v>
      </c>
      <c r="F568" s="16">
        <v>1074051</v>
      </c>
      <c r="G568" s="16">
        <v>9.7064000000000004</v>
      </c>
      <c r="H568" s="16">
        <v>-84.390299999999996</v>
      </c>
      <c r="I568" s="14">
        <v>414</v>
      </c>
      <c r="J568" s="14" t="s">
        <v>26</v>
      </c>
      <c r="K568" s="17">
        <v>43135</v>
      </c>
      <c r="L568" s="17">
        <v>43164</v>
      </c>
      <c r="M568" s="18">
        <f t="shared" si="22"/>
        <v>30</v>
      </c>
      <c r="N568" s="11">
        <f t="shared" si="1"/>
        <v>30</v>
      </c>
      <c r="O568" s="15" t="s">
        <v>406</v>
      </c>
      <c r="P568" s="15" t="s">
        <v>372</v>
      </c>
    </row>
    <row r="569" spans="1:16" ht="15.75" hidden="1" customHeight="1" x14ac:dyDescent="0.2">
      <c r="A569" s="14" t="s">
        <v>385</v>
      </c>
      <c r="B569" s="7" t="s">
        <v>322</v>
      </c>
      <c r="C569" s="14" t="s">
        <v>374</v>
      </c>
      <c r="D569" s="15" t="s">
        <v>372</v>
      </c>
      <c r="E569" s="16">
        <v>786358</v>
      </c>
      <c r="F569" s="16">
        <v>1074051</v>
      </c>
      <c r="G569" s="16">
        <v>9.7064000000000004</v>
      </c>
      <c r="H569" s="16">
        <v>-84.390299999999996</v>
      </c>
      <c r="I569" s="14">
        <v>414</v>
      </c>
      <c r="J569" s="14" t="s">
        <v>26</v>
      </c>
      <c r="K569" s="17">
        <v>43194</v>
      </c>
      <c r="L569" s="17">
        <v>43240</v>
      </c>
      <c r="M569" s="18">
        <f t="shared" si="22"/>
        <v>47</v>
      </c>
      <c r="N569" s="11">
        <f t="shared" si="1"/>
        <v>47</v>
      </c>
      <c r="O569" s="15" t="s">
        <v>407</v>
      </c>
      <c r="P569" s="15" t="s">
        <v>372</v>
      </c>
    </row>
    <row r="570" spans="1:16" ht="15.75" hidden="1" customHeight="1" x14ac:dyDescent="0.2">
      <c r="A570" s="14" t="s">
        <v>385</v>
      </c>
      <c r="B570" s="7" t="s">
        <v>322</v>
      </c>
      <c r="C570" s="14" t="s">
        <v>374</v>
      </c>
      <c r="D570" s="15" t="s">
        <v>372</v>
      </c>
      <c r="E570" s="16">
        <v>786358</v>
      </c>
      <c r="F570" s="16">
        <v>1074051</v>
      </c>
      <c r="G570" s="16">
        <v>9.7064000000000004</v>
      </c>
      <c r="H570" s="16">
        <v>-84.390299999999996</v>
      </c>
      <c r="I570" s="14">
        <v>414</v>
      </c>
      <c r="J570" s="14" t="s">
        <v>26</v>
      </c>
      <c r="K570" s="17">
        <v>43240</v>
      </c>
      <c r="L570" s="17">
        <v>43288</v>
      </c>
      <c r="M570" s="18">
        <f t="shared" si="22"/>
        <v>49</v>
      </c>
      <c r="N570" s="11">
        <f t="shared" si="1"/>
        <v>49</v>
      </c>
      <c r="O570" s="15" t="s">
        <v>408</v>
      </c>
      <c r="P570" s="15" t="s">
        <v>372</v>
      </c>
    </row>
    <row r="571" spans="1:16" ht="15.75" hidden="1" customHeight="1" x14ac:dyDescent="0.2">
      <c r="A571" s="14" t="s">
        <v>385</v>
      </c>
      <c r="B571" s="7" t="s">
        <v>322</v>
      </c>
      <c r="C571" s="14" t="s">
        <v>374</v>
      </c>
      <c r="D571" s="15" t="s">
        <v>372</v>
      </c>
      <c r="E571" s="16">
        <v>786358</v>
      </c>
      <c r="F571" s="16">
        <v>1074051</v>
      </c>
      <c r="G571" s="16">
        <v>9.7064000000000004</v>
      </c>
      <c r="H571" s="16">
        <v>-84.390299999999996</v>
      </c>
      <c r="I571" s="14">
        <v>414</v>
      </c>
      <c r="J571" s="14" t="s">
        <v>26</v>
      </c>
      <c r="K571" s="17">
        <v>43288</v>
      </c>
      <c r="L571" s="17">
        <v>43349</v>
      </c>
      <c r="M571" s="18">
        <f t="shared" si="22"/>
        <v>62</v>
      </c>
      <c r="N571" s="11">
        <f t="shared" si="1"/>
        <v>62</v>
      </c>
      <c r="O571" s="15" t="s">
        <v>409</v>
      </c>
      <c r="P571" s="15" t="s">
        <v>372</v>
      </c>
    </row>
    <row r="572" spans="1:16" ht="15.75" hidden="1" customHeight="1" x14ac:dyDescent="0.2">
      <c r="A572" s="14" t="s">
        <v>385</v>
      </c>
      <c r="B572" s="7" t="s">
        <v>322</v>
      </c>
      <c r="C572" s="14" t="s">
        <v>374</v>
      </c>
      <c r="D572" s="15" t="s">
        <v>372</v>
      </c>
      <c r="E572" s="16">
        <v>786358</v>
      </c>
      <c r="F572" s="16">
        <v>1074051</v>
      </c>
      <c r="G572" s="16">
        <v>9.7064000000000004</v>
      </c>
      <c r="H572" s="16">
        <v>-84.390299999999996</v>
      </c>
      <c r="I572" s="14">
        <v>414</v>
      </c>
      <c r="J572" s="14" t="s">
        <v>26</v>
      </c>
      <c r="K572" s="17">
        <v>43349</v>
      </c>
      <c r="L572" s="17">
        <v>43389</v>
      </c>
      <c r="M572" s="18">
        <f t="shared" si="22"/>
        <v>41</v>
      </c>
      <c r="N572" s="11">
        <f t="shared" si="1"/>
        <v>41</v>
      </c>
      <c r="O572" s="15" t="s">
        <v>410</v>
      </c>
      <c r="P572" s="15" t="s">
        <v>372</v>
      </c>
    </row>
    <row r="573" spans="1:16" ht="15.75" hidden="1" customHeight="1" x14ac:dyDescent="0.2">
      <c r="A573" s="14" t="s">
        <v>411</v>
      </c>
      <c r="B573" s="7" t="s">
        <v>322</v>
      </c>
      <c r="C573" s="14" t="s">
        <v>328</v>
      </c>
      <c r="D573" s="15" t="s">
        <v>324</v>
      </c>
      <c r="E573" s="16">
        <v>786170.4</v>
      </c>
      <c r="F573" s="16">
        <v>1073353</v>
      </c>
      <c r="G573" s="16">
        <v>9.7001019999999993</v>
      </c>
      <c r="H573" s="16">
        <v>-84.392060999999998</v>
      </c>
      <c r="I573" s="14">
        <v>338</v>
      </c>
      <c r="J573" s="14" t="s">
        <v>329</v>
      </c>
      <c r="K573" s="17">
        <v>43467</v>
      </c>
      <c r="L573" s="17">
        <v>43494</v>
      </c>
      <c r="M573" s="18">
        <f t="shared" si="22"/>
        <v>28</v>
      </c>
      <c r="N573" s="11">
        <f t="shared" si="1"/>
        <v>28</v>
      </c>
      <c r="O573" s="15" t="s">
        <v>412</v>
      </c>
      <c r="P573" s="15" t="s">
        <v>324</v>
      </c>
    </row>
    <row r="574" spans="1:16" ht="15.75" hidden="1" customHeight="1" x14ac:dyDescent="0.2">
      <c r="A574" s="14" t="s">
        <v>411</v>
      </c>
      <c r="B574" s="7" t="s">
        <v>322</v>
      </c>
      <c r="C574" s="14" t="s">
        <v>328</v>
      </c>
      <c r="D574" s="15" t="s">
        <v>324</v>
      </c>
      <c r="E574" s="16">
        <v>786170.4</v>
      </c>
      <c r="F574" s="16">
        <v>1073353</v>
      </c>
      <c r="G574" s="16">
        <v>9.7001019999999993</v>
      </c>
      <c r="H574" s="16">
        <v>-84.392060999999998</v>
      </c>
      <c r="I574" s="14">
        <v>338</v>
      </c>
      <c r="J574" s="14" t="s">
        <v>329</v>
      </c>
      <c r="K574" s="17">
        <v>43494</v>
      </c>
      <c r="L574" s="17">
        <v>43512</v>
      </c>
      <c r="M574" s="18">
        <f t="shared" si="22"/>
        <v>19</v>
      </c>
      <c r="N574" s="11">
        <f t="shared" si="1"/>
        <v>19</v>
      </c>
      <c r="O574" s="15" t="s">
        <v>413</v>
      </c>
      <c r="P574" s="15" t="s">
        <v>324</v>
      </c>
    </row>
    <row r="575" spans="1:16" ht="15.75" hidden="1" customHeight="1" x14ac:dyDescent="0.2">
      <c r="A575" s="14" t="s">
        <v>411</v>
      </c>
      <c r="B575" s="7" t="s">
        <v>322</v>
      </c>
      <c r="C575" s="14" t="s">
        <v>328</v>
      </c>
      <c r="D575" s="15" t="s">
        <v>324</v>
      </c>
      <c r="E575" s="16">
        <v>786170.4</v>
      </c>
      <c r="F575" s="16">
        <v>1073353</v>
      </c>
      <c r="G575" s="16">
        <v>9.7001019999999993</v>
      </c>
      <c r="H575" s="16">
        <v>-84.392060999999998</v>
      </c>
      <c r="I575" s="14">
        <v>338</v>
      </c>
      <c r="J575" s="14" t="s">
        <v>329</v>
      </c>
      <c r="K575" s="17">
        <v>43513</v>
      </c>
      <c r="L575" s="17">
        <v>43536</v>
      </c>
      <c r="M575" s="18">
        <f t="shared" si="22"/>
        <v>24</v>
      </c>
      <c r="N575" s="11">
        <f t="shared" si="1"/>
        <v>24</v>
      </c>
      <c r="O575" s="15" t="s">
        <v>414</v>
      </c>
      <c r="P575" s="15" t="s">
        <v>324</v>
      </c>
    </row>
    <row r="576" spans="1:16" ht="15.75" hidden="1" customHeight="1" x14ac:dyDescent="0.2">
      <c r="A576" s="14" t="s">
        <v>411</v>
      </c>
      <c r="B576" s="7" t="s">
        <v>322</v>
      </c>
      <c r="C576" s="14" t="s">
        <v>328</v>
      </c>
      <c r="D576" s="15" t="s">
        <v>324</v>
      </c>
      <c r="E576" s="16">
        <v>786170.4</v>
      </c>
      <c r="F576" s="16">
        <v>1073353</v>
      </c>
      <c r="G576" s="16">
        <v>9.7001019999999993</v>
      </c>
      <c r="H576" s="16">
        <v>-84.392060999999998</v>
      </c>
      <c r="I576" s="14">
        <v>338</v>
      </c>
      <c r="J576" s="14" t="s">
        <v>329</v>
      </c>
      <c r="K576" s="17">
        <v>43537</v>
      </c>
      <c r="L576" s="17">
        <v>43576</v>
      </c>
      <c r="M576" s="18">
        <f t="shared" si="22"/>
        <v>40</v>
      </c>
      <c r="N576" s="11">
        <f t="shared" si="1"/>
        <v>40</v>
      </c>
      <c r="O576" s="15" t="s">
        <v>415</v>
      </c>
      <c r="P576" s="15" t="s">
        <v>324</v>
      </c>
    </row>
    <row r="577" spans="1:16" ht="15.75" hidden="1" customHeight="1" x14ac:dyDescent="0.2">
      <c r="A577" s="14" t="s">
        <v>411</v>
      </c>
      <c r="B577" s="7" t="s">
        <v>322</v>
      </c>
      <c r="C577" s="14" t="s">
        <v>328</v>
      </c>
      <c r="D577" s="15" t="s">
        <v>324</v>
      </c>
      <c r="E577" s="16">
        <v>786170.4</v>
      </c>
      <c r="F577" s="16">
        <v>1073353</v>
      </c>
      <c r="G577" s="16">
        <v>9.7001019999999993</v>
      </c>
      <c r="H577" s="16">
        <v>-84.392060999999998</v>
      </c>
      <c r="I577" s="14">
        <v>338</v>
      </c>
      <c r="J577" s="14" t="s">
        <v>329</v>
      </c>
      <c r="K577" s="17">
        <v>43576</v>
      </c>
      <c r="L577" s="17">
        <v>43615</v>
      </c>
      <c r="M577" s="18">
        <f t="shared" si="22"/>
        <v>40</v>
      </c>
      <c r="N577" s="11">
        <f t="shared" si="1"/>
        <v>40</v>
      </c>
      <c r="O577" s="15" t="s">
        <v>416</v>
      </c>
      <c r="P577" s="15" t="s">
        <v>324</v>
      </c>
    </row>
    <row r="578" spans="1:16" ht="15.75" hidden="1" customHeight="1" x14ac:dyDescent="0.2">
      <c r="A578" s="14" t="s">
        <v>411</v>
      </c>
      <c r="B578" s="7" t="s">
        <v>322</v>
      </c>
      <c r="C578" s="14" t="s">
        <v>341</v>
      </c>
      <c r="D578" s="15" t="s">
        <v>325</v>
      </c>
      <c r="E578" s="16">
        <v>786886.9</v>
      </c>
      <c r="F578" s="16">
        <v>1073236</v>
      </c>
      <c r="G578" s="16">
        <v>9.698995</v>
      </c>
      <c r="H578" s="16">
        <v>-84.385544530000004</v>
      </c>
      <c r="I578" s="14">
        <v>445</v>
      </c>
      <c r="J578" s="14" t="s">
        <v>20</v>
      </c>
      <c r="K578" s="17">
        <v>43466</v>
      </c>
      <c r="L578" s="17">
        <v>43478</v>
      </c>
      <c r="M578" s="18">
        <f t="shared" si="22"/>
        <v>13</v>
      </c>
      <c r="N578" s="11">
        <f t="shared" si="1"/>
        <v>13</v>
      </c>
      <c r="O578" s="15" t="s">
        <v>417</v>
      </c>
      <c r="P578" s="15" t="s">
        <v>325</v>
      </c>
    </row>
    <row r="579" spans="1:16" ht="15.75" hidden="1" customHeight="1" x14ac:dyDescent="0.2">
      <c r="A579" s="14" t="s">
        <v>411</v>
      </c>
      <c r="B579" s="7" t="s">
        <v>322</v>
      </c>
      <c r="C579" s="14" t="s">
        <v>341</v>
      </c>
      <c r="D579" s="15" t="s">
        <v>325</v>
      </c>
      <c r="E579" s="16">
        <v>786886.9</v>
      </c>
      <c r="F579" s="16">
        <v>1073236</v>
      </c>
      <c r="G579" s="16">
        <v>9.698995</v>
      </c>
      <c r="H579" s="16">
        <v>-84.385544530000004</v>
      </c>
      <c r="I579" s="14">
        <v>445</v>
      </c>
      <c r="J579" s="14" t="s">
        <v>20</v>
      </c>
      <c r="K579" s="17">
        <v>43478</v>
      </c>
      <c r="L579" s="17">
        <v>43512</v>
      </c>
      <c r="M579" s="18">
        <f t="shared" si="22"/>
        <v>35</v>
      </c>
      <c r="N579" s="11">
        <f t="shared" si="1"/>
        <v>35</v>
      </c>
      <c r="O579" s="15" t="s">
        <v>418</v>
      </c>
      <c r="P579" s="15" t="s">
        <v>325</v>
      </c>
    </row>
    <row r="580" spans="1:16" ht="15.75" hidden="1" customHeight="1" x14ac:dyDescent="0.2">
      <c r="A580" s="14" t="s">
        <v>411</v>
      </c>
      <c r="B580" s="7" t="s">
        <v>322</v>
      </c>
      <c r="C580" s="14" t="s">
        <v>341</v>
      </c>
      <c r="D580" s="15" t="s">
        <v>325</v>
      </c>
      <c r="E580" s="16">
        <v>786886.9</v>
      </c>
      <c r="F580" s="16">
        <v>1073236</v>
      </c>
      <c r="G580" s="16">
        <v>9.698995</v>
      </c>
      <c r="H580" s="16">
        <v>-84.385544530000004</v>
      </c>
      <c r="I580" s="14">
        <v>445</v>
      </c>
      <c r="J580" s="14" t="s">
        <v>20</v>
      </c>
      <c r="K580" s="17">
        <v>43512</v>
      </c>
      <c r="L580" s="17">
        <v>43537</v>
      </c>
      <c r="M580" s="18">
        <f t="shared" si="22"/>
        <v>26</v>
      </c>
      <c r="N580" s="11">
        <f t="shared" si="1"/>
        <v>26</v>
      </c>
      <c r="O580" s="15" t="s">
        <v>419</v>
      </c>
      <c r="P580" s="15" t="s">
        <v>325</v>
      </c>
    </row>
    <row r="581" spans="1:16" ht="15.75" hidden="1" customHeight="1" x14ac:dyDescent="0.2">
      <c r="A581" s="14" t="s">
        <v>411</v>
      </c>
      <c r="B581" s="7" t="s">
        <v>322</v>
      </c>
      <c r="C581" s="14" t="s">
        <v>341</v>
      </c>
      <c r="D581" s="15" t="s">
        <v>325</v>
      </c>
      <c r="E581" s="16">
        <v>786886.9</v>
      </c>
      <c r="F581" s="16">
        <v>1073236</v>
      </c>
      <c r="G581" s="16">
        <v>9.698995</v>
      </c>
      <c r="H581" s="16">
        <v>-84.385544530000004</v>
      </c>
      <c r="I581" s="14">
        <v>445</v>
      </c>
      <c r="J581" s="14" t="s">
        <v>20</v>
      </c>
      <c r="K581" s="17">
        <v>43574</v>
      </c>
      <c r="L581" s="17">
        <v>43577</v>
      </c>
      <c r="M581" s="18">
        <f t="shared" si="22"/>
        <v>4</v>
      </c>
      <c r="N581" s="11">
        <f t="shared" si="1"/>
        <v>4</v>
      </c>
      <c r="O581" s="15" t="s">
        <v>420</v>
      </c>
      <c r="P581" s="15" t="s">
        <v>325</v>
      </c>
    </row>
    <row r="582" spans="1:16" ht="15.75" hidden="1" customHeight="1" x14ac:dyDescent="0.2">
      <c r="A582" s="14" t="s">
        <v>411</v>
      </c>
      <c r="B582" s="7" t="s">
        <v>322</v>
      </c>
      <c r="C582" s="14" t="s">
        <v>352</v>
      </c>
      <c r="D582" s="15" t="s">
        <v>326</v>
      </c>
      <c r="E582" s="16">
        <v>787853.9</v>
      </c>
      <c r="F582" s="16">
        <v>1072469</v>
      </c>
      <c r="G582" s="16">
        <v>9.6919979999999999</v>
      </c>
      <c r="H582" s="16">
        <v>-84.376792330000001</v>
      </c>
      <c r="I582" s="14">
        <v>354</v>
      </c>
      <c r="J582" s="14" t="s">
        <v>20</v>
      </c>
      <c r="K582" s="17">
        <v>43466</v>
      </c>
      <c r="L582" s="17">
        <v>43478</v>
      </c>
      <c r="M582" s="18">
        <f t="shared" si="22"/>
        <v>13</v>
      </c>
      <c r="N582" s="11">
        <f t="shared" si="1"/>
        <v>13</v>
      </c>
      <c r="O582" s="15" t="s">
        <v>421</v>
      </c>
      <c r="P582" s="15" t="s">
        <v>326</v>
      </c>
    </row>
    <row r="583" spans="1:16" ht="15.75" hidden="1" customHeight="1" x14ac:dyDescent="0.2">
      <c r="A583" s="14" t="s">
        <v>411</v>
      </c>
      <c r="B583" s="7" t="s">
        <v>322</v>
      </c>
      <c r="C583" s="14" t="s">
        <v>352</v>
      </c>
      <c r="D583" s="15" t="s">
        <v>326</v>
      </c>
      <c r="E583" s="16">
        <v>787853.9</v>
      </c>
      <c r="F583" s="16">
        <v>1072469</v>
      </c>
      <c r="G583" s="16">
        <v>9.6919979999999999</v>
      </c>
      <c r="H583" s="16">
        <v>-84.376792330000001</v>
      </c>
      <c r="I583" s="14">
        <v>354</v>
      </c>
      <c r="J583" s="14" t="s">
        <v>20</v>
      </c>
      <c r="K583" s="17">
        <v>43478</v>
      </c>
      <c r="L583" s="17">
        <v>43512</v>
      </c>
      <c r="M583" s="18">
        <f t="shared" si="22"/>
        <v>35</v>
      </c>
      <c r="N583" s="11">
        <f t="shared" si="1"/>
        <v>35</v>
      </c>
      <c r="O583" s="15" t="s">
        <v>422</v>
      </c>
      <c r="P583" s="15" t="s">
        <v>326</v>
      </c>
    </row>
    <row r="584" spans="1:16" ht="15.75" hidden="1" customHeight="1" x14ac:dyDescent="0.2">
      <c r="A584" s="14" t="s">
        <v>411</v>
      </c>
      <c r="B584" s="7" t="s">
        <v>322</v>
      </c>
      <c r="C584" s="14" t="s">
        <v>352</v>
      </c>
      <c r="D584" s="15" t="s">
        <v>326</v>
      </c>
      <c r="E584" s="16">
        <v>787853.9</v>
      </c>
      <c r="F584" s="16">
        <v>1072469</v>
      </c>
      <c r="G584" s="16">
        <v>9.6919979999999999</v>
      </c>
      <c r="H584" s="16">
        <v>-84.376792330000001</v>
      </c>
      <c r="I584" s="14">
        <v>354</v>
      </c>
      <c r="J584" s="14" t="s">
        <v>20</v>
      </c>
      <c r="K584" s="17">
        <v>43512</v>
      </c>
      <c r="L584" s="17">
        <v>43537</v>
      </c>
      <c r="M584" s="18">
        <f t="shared" si="22"/>
        <v>26</v>
      </c>
      <c r="N584" s="11">
        <f t="shared" si="1"/>
        <v>26</v>
      </c>
      <c r="O584" s="15" t="s">
        <v>423</v>
      </c>
      <c r="P584" s="15" t="s">
        <v>326</v>
      </c>
    </row>
    <row r="585" spans="1:16" ht="15.75" hidden="1" customHeight="1" x14ac:dyDescent="0.2">
      <c r="A585" s="14" t="s">
        <v>411</v>
      </c>
      <c r="B585" s="7" t="s">
        <v>322</v>
      </c>
      <c r="C585" s="14" t="s">
        <v>352</v>
      </c>
      <c r="D585" s="15" t="s">
        <v>326</v>
      </c>
      <c r="E585" s="16">
        <v>787853.9</v>
      </c>
      <c r="F585" s="16">
        <v>1072469</v>
      </c>
      <c r="G585" s="16">
        <v>9.6919979999999999</v>
      </c>
      <c r="H585" s="16">
        <v>-84.376792330000001</v>
      </c>
      <c r="I585" s="14">
        <v>354</v>
      </c>
      <c r="J585" s="14" t="s">
        <v>20</v>
      </c>
      <c r="K585" s="17">
        <v>43537</v>
      </c>
      <c r="L585" s="17">
        <v>43574</v>
      </c>
      <c r="M585" s="18">
        <f t="shared" si="22"/>
        <v>38</v>
      </c>
      <c r="N585" s="11">
        <f t="shared" si="1"/>
        <v>38</v>
      </c>
      <c r="O585" s="15" t="s">
        <v>424</v>
      </c>
      <c r="P585" s="15" t="s">
        <v>326</v>
      </c>
    </row>
    <row r="586" spans="1:16" ht="15.75" hidden="1" customHeight="1" x14ac:dyDescent="0.2">
      <c r="A586" s="14" t="s">
        <v>411</v>
      </c>
      <c r="B586" s="7" t="s">
        <v>322</v>
      </c>
      <c r="C586" s="14" t="s">
        <v>352</v>
      </c>
      <c r="D586" s="15" t="s">
        <v>326</v>
      </c>
      <c r="E586" s="16">
        <v>787853.9</v>
      </c>
      <c r="F586" s="16">
        <v>1072469</v>
      </c>
      <c r="G586" s="16">
        <v>9.6919979999999999</v>
      </c>
      <c r="H586" s="16">
        <v>-84.376792330000001</v>
      </c>
      <c r="I586" s="14">
        <v>354</v>
      </c>
      <c r="J586" s="14" t="s">
        <v>20</v>
      </c>
      <c r="K586" s="17">
        <v>43574</v>
      </c>
      <c r="L586" s="17">
        <v>43613</v>
      </c>
      <c r="M586" s="18">
        <f t="shared" si="22"/>
        <v>40</v>
      </c>
      <c r="N586" s="11">
        <f t="shared" si="1"/>
        <v>40</v>
      </c>
      <c r="O586" s="15" t="s">
        <v>425</v>
      </c>
      <c r="P586" s="15" t="s">
        <v>326</v>
      </c>
    </row>
    <row r="587" spans="1:16" ht="15.75" hidden="1" customHeight="1" x14ac:dyDescent="0.2">
      <c r="A587" s="14" t="s">
        <v>411</v>
      </c>
      <c r="B587" s="7" t="s">
        <v>322</v>
      </c>
      <c r="C587" s="14" t="s">
        <v>363</v>
      </c>
      <c r="D587" s="15" t="s">
        <v>327</v>
      </c>
      <c r="E587" s="16">
        <v>785199.3</v>
      </c>
      <c r="F587" s="16">
        <v>1074223</v>
      </c>
      <c r="G587" s="16">
        <v>9.7080300000000008</v>
      </c>
      <c r="H587" s="16">
        <v>-84.400844230000004</v>
      </c>
      <c r="I587" s="14">
        <v>584</v>
      </c>
      <c r="J587" s="14" t="s">
        <v>20</v>
      </c>
      <c r="K587" s="17">
        <v>43466</v>
      </c>
      <c r="L587" s="17">
        <v>43478</v>
      </c>
      <c r="M587" s="18">
        <f t="shared" si="22"/>
        <v>13</v>
      </c>
      <c r="N587" s="11">
        <f t="shared" si="1"/>
        <v>13</v>
      </c>
      <c r="O587" s="15" t="s">
        <v>426</v>
      </c>
      <c r="P587" s="15" t="s">
        <v>327</v>
      </c>
    </row>
    <row r="588" spans="1:16" ht="15.75" hidden="1" customHeight="1" x14ac:dyDescent="0.2">
      <c r="A588" s="14" t="s">
        <v>411</v>
      </c>
      <c r="B588" s="7" t="s">
        <v>322</v>
      </c>
      <c r="C588" s="14" t="s">
        <v>363</v>
      </c>
      <c r="D588" s="15" t="s">
        <v>327</v>
      </c>
      <c r="E588" s="16">
        <v>785199.3</v>
      </c>
      <c r="F588" s="16">
        <v>1074223</v>
      </c>
      <c r="G588" s="16">
        <v>9.7080300000000008</v>
      </c>
      <c r="H588" s="16">
        <v>-84.400844230000004</v>
      </c>
      <c r="I588" s="14">
        <v>584</v>
      </c>
      <c r="J588" s="14" t="s">
        <v>20</v>
      </c>
      <c r="K588" s="17">
        <v>43537</v>
      </c>
      <c r="L588" s="17">
        <v>43574</v>
      </c>
      <c r="M588" s="18">
        <f t="shared" si="22"/>
        <v>38</v>
      </c>
      <c r="N588" s="11">
        <f t="shared" si="1"/>
        <v>38</v>
      </c>
      <c r="O588" s="15" t="s">
        <v>427</v>
      </c>
      <c r="P588" s="15" t="s">
        <v>327</v>
      </c>
    </row>
    <row r="589" spans="1:16" ht="15.75" hidden="1" customHeight="1" x14ac:dyDescent="0.2">
      <c r="A589" s="14" t="s">
        <v>411</v>
      </c>
      <c r="B589" s="7" t="s">
        <v>322</v>
      </c>
      <c r="C589" s="14" t="s">
        <v>363</v>
      </c>
      <c r="D589" s="15" t="s">
        <v>327</v>
      </c>
      <c r="E589" s="16">
        <v>785199.3</v>
      </c>
      <c r="F589" s="16">
        <v>1074223</v>
      </c>
      <c r="G589" s="16">
        <v>9.7080300000000008</v>
      </c>
      <c r="H589" s="16">
        <v>-84.400844230000004</v>
      </c>
      <c r="I589" s="14">
        <v>584</v>
      </c>
      <c r="J589" s="14" t="s">
        <v>20</v>
      </c>
      <c r="K589" s="17">
        <v>43574</v>
      </c>
      <c r="L589" s="17">
        <v>43607</v>
      </c>
      <c r="M589" s="18">
        <f t="shared" si="22"/>
        <v>34</v>
      </c>
      <c r="N589" s="11">
        <f t="shared" si="1"/>
        <v>34</v>
      </c>
      <c r="O589" s="15" t="s">
        <v>428</v>
      </c>
      <c r="P589" s="15" t="s">
        <v>327</v>
      </c>
    </row>
    <row r="590" spans="1:16" ht="15.75" hidden="1" customHeight="1" x14ac:dyDescent="0.2">
      <c r="A590" s="14" t="s">
        <v>411</v>
      </c>
      <c r="B590" s="7" t="s">
        <v>322</v>
      </c>
      <c r="C590" s="14" t="s">
        <v>374</v>
      </c>
      <c r="D590" s="15" t="s">
        <v>372</v>
      </c>
      <c r="E590" s="16">
        <v>786358</v>
      </c>
      <c r="F590" s="16">
        <v>1074051</v>
      </c>
      <c r="G590" s="16">
        <v>9.7064000000000004</v>
      </c>
      <c r="H590" s="16">
        <v>-84.390299999999996</v>
      </c>
      <c r="I590" s="14">
        <v>414</v>
      </c>
      <c r="J590" s="14" t="s">
        <v>26</v>
      </c>
      <c r="K590" s="17">
        <v>43574</v>
      </c>
      <c r="L590" s="17">
        <v>43613</v>
      </c>
      <c r="M590" s="18">
        <f t="shared" si="22"/>
        <v>40</v>
      </c>
      <c r="N590" s="11">
        <f t="shared" si="1"/>
        <v>40</v>
      </c>
      <c r="O590" s="15" t="s">
        <v>429</v>
      </c>
      <c r="P590" s="15" t="s">
        <v>372</v>
      </c>
    </row>
    <row r="591" spans="1:16" ht="15.75" hidden="1" customHeight="1" x14ac:dyDescent="0.2">
      <c r="A591" s="20" t="s">
        <v>411</v>
      </c>
      <c r="B591" s="7" t="s">
        <v>322</v>
      </c>
      <c r="C591" s="20" t="s">
        <v>328</v>
      </c>
      <c r="D591" s="21" t="s">
        <v>324</v>
      </c>
      <c r="E591" s="22">
        <v>786170.4</v>
      </c>
      <c r="F591" s="22">
        <v>1073353</v>
      </c>
      <c r="G591" s="22">
        <v>9.7001019999999993</v>
      </c>
      <c r="H591" s="22">
        <v>-84.392060999999998</v>
      </c>
      <c r="I591" s="20">
        <v>338</v>
      </c>
      <c r="J591" s="20" t="s">
        <v>329</v>
      </c>
      <c r="K591" s="23"/>
      <c r="L591" s="23"/>
      <c r="M591" s="24">
        <f t="shared" si="22"/>
        <v>0</v>
      </c>
      <c r="N591" s="11">
        <f t="shared" si="1"/>
        <v>0</v>
      </c>
      <c r="O591" s="25"/>
      <c r="P591" s="21" t="s">
        <v>324</v>
      </c>
    </row>
    <row r="592" spans="1:16" ht="15.75" hidden="1" customHeight="1" x14ac:dyDescent="0.2">
      <c r="A592" s="20" t="s">
        <v>411</v>
      </c>
      <c r="B592" s="7" t="s">
        <v>322</v>
      </c>
      <c r="C592" s="20" t="s">
        <v>341</v>
      </c>
      <c r="D592" s="21" t="s">
        <v>325</v>
      </c>
      <c r="E592" s="22">
        <v>786886.9</v>
      </c>
      <c r="F592" s="22">
        <v>1073236</v>
      </c>
      <c r="G592" s="22">
        <v>9.698995</v>
      </c>
      <c r="H592" s="22">
        <v>-84.385544530000004</v>
      </c>
      <c r="I592" s="20">
        <v>445</v>
      </c>
      <c r="J592" s="20" t="s">
        <v>20</v>
      </c>
      <c r="K592" s="23"/>
      <c r="L592" s="23"/>
      <c r="M592" s="24">
        <f t="shared" si="22"/>
        <v>0</v>
      </c>
      <c r="N592" s="11">
        <f t="shared" si="1"/>
        <v>0</v>
      </c>
      <c r="O592" s="25"/>
      <c r="P592" s="21" t="s">
        <v>325</v>
      </c>
    </row>
    <row r="593" spans="1:27" ht="15.75" hidden="1" customHeight="1" x14ac:dyDescent="0.2">
      <c r="A593" s="20" t="s">
        <v>411</v>
      </c>
      <c r="B593" s="7" t="s">
        <v>322</v>
      </c>
      <c r="C593" s="20" t="s">
        <v>352</v>
      </c>
      <c r="D593" s="21" t="s">
        <v>326</v>
      </c>
      <c r="E593" s="22">
        <v>787853.9</v>
      </c>
      <c r="F593" s="22">
        <v>1072469</v>
      </c>
      <c r="G593" s="22">
        <v>9.6919979999999999</v>
      </c>
      <c r="H593" s="22">
        <v>-84.376792330000001</v>
      </c>
      <c r="I593" s="20">
        <v>354</v>
      </c>
      <c r="J593" s="20" t="s">
        <v>20</v>
      </c>
      <c r="K593" s="23"/>
      <c r="L593" s="23"/>
      <c r="M593" s="24">
        <f t="shared" si="22"/>
        <v>0</v>
      </c>
      <c r="N593" s="11">
        <f t="shared" si="1"/>
        <v>0</v>
      </c>
      <c r="O593" s="25"/>
      <c r="P593" s="21" t="s">
        <v>326</v>
      </c>
    </row>
    <row r="594" spans="1:27" ht="15.75" hidden="1" customHeight="1" x14ac:dyDescent="0.2">
      <c r="A594" s="20" t="s">
        <v>411</v>
      </c>
      <c r="B594" s="7" t="s">
        <v>322</v>
      </c>
      <c r="C594" s="20" t="s">
        <v>352</v>
      </c>
      <c r="D594" s="21" t="s">
        <v>326</v>
      </c>
      <c r="E594" s="22">
        <v>787853.9</v>
      </c>
      <c r="F594" s="22">
        <v>1072469</v>
      </c>
      <c r="G594" s="22">
        <v>9.6919979999999999</v>
      </c>
      <c r="H594" s="22">
        <v>-84.376792330000001</v>
      </c>
      <c r="I594" s="20">
        <v>354</v>
      </c>
      <c r="J594" s="20" t="s">
        <v>20</v>
      </c>
      <c r="K594" s="23"/>
      <c r="L594" s="23"/>
      <c r="M594" s="24">
        <f t="shared" si="22"/>
        <v>0</v>
      </c>
      <c r="N594" s="11">
        <f t="shared" si="1"/>
        <v>0</v>
      </c>
      <c r="O594" s="25"/>
      <c r="P594" s="21" t="s">
        <v>326</v>
      </c>
    </row>
    <row r="595" spans="1:27" ht="15.75" hidden="1" customHeight="1" x14ac:dyDescent="0.2">
      <c r="A595" s="20" t="s">
        <v>411</v>
      </c>
      <c r="B595" s="7" t="s">
        <v>322</v>
      </c>
      <c r="C595" s="20" t="s">
        <v>363</v>
      </c>
      <c r="D595" s="21" t="s">
        <v>327</v>
      </c>
      <c r="E595" s="22">
        <v>785199.3</v>
      </c>
      <c r="F595" s="22">
        <v>1074223</v>
      </c>
      <c r="G595" s="22">
        <v>9.7080300000000008</v>
      </c>
      <c r="H595" s="22">
        <v>-84.400844230000004</v>
      </c>
      <c r="I595" s="20">
        <v>584</v>
      </c>
      <c r="J595" s="20" t="s">
        <v>20</v>
      </c>
      <c r="K595" s="23"/>
      <c r="L595" s="23"/>
      <c r="M595" s="24">
        <f t="shared" si="22"/>
        <v>0</v>
      </c>
      <c r="N595" s="11">
        <f t="shared" si="1"/>
        <v>0</v>
      </c>
      <c r="O595" s="25"/>
      <c r="P595" s="21" t="s">
        <v>327</v>
      </c>
    </row>
    <row r="596" spans="1:27" ht="15.75" hidden="1" customHeight="1" x14ac:dyDescent="0.2">
      <c r="A596" s="20" t="s">
        <v>411</v>
      </c>
      <c r="B596" s="7" t="s">
        <v>322</v>
      </c>
      <c r="C596" s="20" t="s">
        <v>374</v>
      </c>
      <c r="D596" s="21" t="s">
        <v>372</v>
      </c>
      <c r="E596" s="22">
        <v>786358</v>
      </c>
      <c r="F596" s="22">
        <v>1074051</v>
      </c>
      <c r="G596" s="22">
        <v>9.7064000000000004</v>
      </c>
      <c r="H596" s="22">
        <v>-84.390299999999996</v>
      </c>
      <c r="I596" s="20">
        <v>414</v>
      </c>
      <c r="J596" s="20" t="s">
        <v>26</v>
      </c>
      <c r="K596" s="23"/>
      <c r="L596" s="23"/>
      <c r="M596" s="24">
        <f t="shared" si="22"/>
        <v>0</v>
      </c>
      <c r="N596" s="11">
        <f t="shared" si="1"/>
        <v>0</v>
      </c>
      <c r="O596" s="25"/>
      <c r="P596" s="21" t="s">
        <v>372</v>
      </c>
    </row>
    <row r="597" spans="1:27" ht="15.75" hidden="1" customHeight="1" x14ac:dyDescent="0.2">
      <c r="A597" s="19" t="s">
        <v>47</v>
      </c>
      <c r="B597" s="7" t="s">
        <v>322</v>
      </c>
      <c r="C597" s="19" t="s">
        <v>341</v>
      </c>
      <c r="D597" s="8" t="s">
        <v>325</v>
      </c>
      <c r="E597" s="9">
        <v>786887</v>
      </c>
      <c r="F597" s="9">
        <v>1073236</v>
      </c>
      <c r="G597" s="9">
        <v>9.698995</v>
      </c>
      <c r="H597" s="9">
        <v>-84.385544999999993</v>
      </c>
      <c r="I597" s="19">
        <v>445</v>
      </c>
      <c r="J597" s="19" t="s">
        <v>26</v>
      </c>
      <c r="K597" s="10">
        <v>41998</v>
      </c>
      <c r="L597" s="10">
        <v>42059</v>
      </c>
      <c r="M597" s="11">
        <f t="shared" si="22"/>
        <v>62</v>
      </c>
      <c r="N597" s="11">
        <f t="shared" si="1"/>
        <v>62</v>
      </c>
      <c r="O597" s="8"/>
      <c r="P597" s="8" t="s">
        <v>325</v>
      </c>
    </row>
    <row r="598" spans="1:27" ht="15.75" hidden="1" customHeight="1" x14ac:dyDescent="0.2">
      <c r="A598" s="19" t="s">
        <v>47</v>
      </c>
      <c r="B598" s="7" t="s">
        <v>322</v>
      </c>
      <c r="C598" s="19" t="s">
        <v>328</v>
      </c>
      <c r="D598" s="8" t="s">
        <v>324</v>
      </c>
      <c r="E598" s="9">
        <v>786170</v>
      </c>
      <c r="F598" s="9">
        <v>1073353</v>
      </c>
      <c r="G598" s="9">
        <v>9.7001019999999993</v>
      </c>
      <c r="H598" s="9">
        <v>-84.392060999999998</v>
      </c>
      <c r="I598" s="19">
        <v>338</v>
      </c>
      <c r="J598" s="19" t="s">
        <v>26</v>
      </c>
      <c r="K598" s="10">
        <v>42032</v>
      </c>
      <c r="L598" s="10">
        <v>42056</v>
      </c>
      <c r="M598" s="11">
        <f t="shared" si="22"/>
        <v>25</v>
      </c>
      <c r="N598" s="11">
        <f t="shared" si="1"/>
        <v>25</v>
      </c>
      <c r="O598" s="8"/>
      <c r="P598" s="8" t="s">
        <v>324</v>
      </c>
    </row>
    <row r="599" spans="1:27" ht="15.75" hidden="1" customHeight="1" x14ac:dyDescent="0.2">
      <c r="A599" s="19" t="s">
        <v>47</v>
      </c>
      <c r="B599" s="7" t="s">
        <v>322</v>
      </c>
      <c r="C599" s="19" t="s">
        <v>352</v>
      </c>
      <c r="D599" s="8" t="s">
        <v>326</v>
      </c>
      <c r="E599" s="9">
        <v>787854</v>
      </c>
      <c r="F599" s="9">
        <v>1072469</v>
      </c>
      <c r="G599" s="9">
        <v>9.6919979999999999</v>
      </c>
      <c r="H599" s="9">
        <v>-84.376791999999995</v>
      </c>
      <c r="I599" s="19">
        <v>354</v>
      </c>
      <c r="J599" s="19" t="s">
        <v>26</v>
      </c>
      <c r="K599" s="10">
        <v>42028</v>
      </c>
      <c r="L599" s="10">
        <v>42115</v>
      </c>
      <c r="M599" s="11">
        <f t="shared" si="22"/>
        <v>88</v>
      </c>
      <c r="N599" s="11">
        <f t="shared" si="1"/>
        <v>88</v>
      </c>
      <c r="O599" s="8"/>
      <c r="P599" s="8" t="s">
        <v>326</v>
      </c>
    </row>
    <row r="600" spans="1:27" ht="15.75" hidden="1" customHeight="1" x14ac:dyDescent="0.2">
      <c r="A600" s="19" t="s">
        <v>47</v>
      </c>
      <c r="B600" s="7" t="s">
        <v>322</v>
      </c>
      <c r="C600" s="19" t="s">
        <v>363</v>
      </c>
      <c r="D600" s="8" t="s">
        <v>327</v>
      </c>
      <c r="E600" s="9">
        <v>785199</v>
      </c>
      <c r="F600" s="9">
        <v>1074223</v>
      </c>
      <c r="G600" s="9">
        <v>9.7080300000000008</v>
      </c>
      <c r="H600" s="9">
        <v>-84.400844000000006</v>
      </c>
      <c r="I600" s="19">
        <v>584</v>
      </c>
      <c r="J600" s="19" t="s">
        <v>26</v>
      </c>
      <c r="K600" s="10">
        <v>42031</v>
      </c>
      <c r="L600" s="10">
        <v>42119</v>
      </c>
      <c r="M600" s="11">
        <f t="shared" si="22"/>
        <v>89</v>
      </c>
      <c r="N600" s="11">
        <f t="shared" si="1"/>
        <v>89</v>
      </c>
      <c r="O600" s="8"/>
      <c r="P600" s="8" t="s">
        <v>327</v>
      </c>
    </row>
    <row r="601" spans="1:27" ht="15.75" hidden="1" customHeight="1" x14ac:dyDescent="0.2">
      <c r="A601" s="14" t="s">
        <v>334</v>
      </c>
      <c r="B601" s="7" t="s">
        <v>322</v>
      </c>
      <c r="C601" s="7" t="s">
        <v>352</v>
      </c>
      <c r="D601" s="8" t="s">
        <v>326</v>
      </c>
      <c r="E601" s="9">
        <v>787853.9</v>
      </c>
      <c r="F601" s="9">
        <v>1072469</v>
      </c>
      <c r="G601" s="9">
        <v>9.6919979999999999</v>
      </c>
      <c r="H601" s="9">
        <v>-84.376792330000001</v>
      </c>
      <c r="I601" s="19">
        <v>354</v>
      </c>
      <c r="J601" s="19" t="s">
        <v>26</v>
      </c>
      <c r="K601" s="10">
        <v>42886</v>
      </c>
      <c r="L601" s="10">
        <v>42919</v>
      </c>
      <c r="M601" s="11">
        <v>0</v>
      </c>
      <c r="N601" s="11">
        <f t="shared" si="1"/>
        <v>34</v>
      </c>
      <c r="O601" s="8" t="s">
        <v>430</v>
      </c>
      <c r="P601" s="8" t="s">
        <v>326</v>
      </c>
    </row>
    <row r="602" spans="1:27" ht="15.75" hidden="1" customHeight="1" x14ac:dyDescent="0.2">
      <c r="A602" s="14" t="s">
        <v>385</v>
      </c>
      <c r="B602" s="7" t="s">
        <v>322</v>
      </c>
      <c r="C602" s="14" t="s">
        <v>341</v>
      </c>
      <c r="D602" s="15" t="s">
        <v>325</v>
      </c>
      <c r="E602" s="16">
        <v>786886.9</v>
      </c>
      <c r="F602" s="16">
        <v>1073236</v>
      </c>
      <c r="G602" s="16">
        <v>9.698995</v>
      </c>
      <c r="H602" s="16">
        <v>-84.385544530000004</v>
      </c>
      <c r="I602" s="14">
        <v>445</v>
      </c>
      <c r="J602" s="14" t="s">
        <v>20</v>
      </c>
      <c r="K602" s="17">
        <v>43194</v>
      </c>
      <c r="L602" s="17">
        <v>43240</v>
      </c>
      <c r="M602" s="18">
        <f t="shared" ref="M602:M618" si="23">IF(ISBLANK(K602),0,IF(ISBLANK(L602),0,L602-K602+1))</f>
        <v>47</v>
      </c>
      <c r="N602" s="11">
        <f t="shared" si="1"/>
        <v>47</v>
      </c>
      <c r="O602" s="8" t="s">
        <v>62</v>
      </c>
      <c r="P602" s="15" t="s">
        <v>325</v>
      </c>
    </row>
    <row r="603" spans="1:27" ht="15.75" hidden="1" customHeight="1" x14ac:dyDescent="0.2">
      <c r="A603" s="14" t="s">
        <v>130</v>
      </c>
      <c r="B603" s="7" t="s">
        <v>322</v>
      </c>
      <c r="C603" s="14" t="s">
        <v>328</v>
      </c>
      <c r="D603" s="7" t="s">
        <v>324</v>
      </c>
      <c r="E603" s="16">
        <v>786170.4</v>
      </c>
      <c r="F603" s="16">
        <v>1073353</v>
      </c>
      <c r="G603" s="16">
        <v>9.7001019999999993</v>
      </c>
      <c r="H603" s="16">
        <v>-84.392060999999998</v>
      </c>
      <c r="I603" s="14">
        <v>338</v>
      </c>
      <c r="J603" s="14" t="s">
        <v>329</v>
      </c>
      <c r="K603" s="10">
        <v>42368</v>
      </c>
      <c r="L603" s="10">
        <v>42531</v>
      </c>
      <c r="M603" s="11">
        <f t="shared" si="23"/>
        <v>164</v>
      </c>
      <c r="N603" s="11">
        <f t="shared" si="1"/>
        <v>164</v>
      </c>
      <c r="O603" s="8" t="s">
        <v>62</v>
      </c>
      <c r="P603" s="7" t="s">
        <v>324</v>
      </c>
      <c r="Q603" s="7"/>
      <c r="R603" s="7"/>
      <c r="S603" s="7"/>
      <c r="T603" s="7"/>
      <c r="U603" s="7"/>
      <c r="V603" s="7"/>
      <c r="W603" s="7"/>
      <c r="X603" s="7"/>
      <c r="Y603" s="7"/>
      <c r="Z603" s="7"/>
      <c r="AA603" s="7"/>
    </row>
    <row r="604" spans="1:27" ht="15.75" hidden="1" customHeight="1" x14ac:dyDescent="0.2">
      <c r="A604" s="14" t="s">
        <v>130</v>
      </c>
      <c r="B604" s="7" t="s">
        <v>322</v>
      </c>
      <c r="C604" s="7" t="s">
        <v>341</v>
      </c>
      <c r="D604" s="7" t="s">
        <v>325</v>
      </c>
      <c r="E604" s="16">
        <v>786886.9</v>
      </c>
      <c r="F604" s="16">
        <v>1073236</v>
      </c>
      <c r="G604" s="16">
        <v>9.698995</v>
      </c>
      <c r="H604" s="16">
        <v>-84.385544530000004</v>
      </c>
      <c r="I604" s="14">
        <v>445</v>
      </c>
      <c r="J604" s="14" t="s">
        <v>20</v>
      </c>
      <c r="K604" s="10">
        <v>42357</v>
      </c>
      <c r="L604" s="10">
        <v>42501</v>
      </c>
      <c r="M604" s="18">
        <f t="shared" si="23"/>
        <v>145</v>
      </c>
      <c r="N604" s="11">
        <f t="shared" si="1"/>
        <v>145</v>
      </c>
      <c r="O604" s="8" t="s">
        <v>62</v>
      </c>
      <c r="P604" s="7" t="s">
        <v>325</v>
      </c>
      <c r="Q604" s="7"/>
      <c r="R604" s="7"/>
      <c r="S604" s="7"/>
      <c r="T604" s="7"/>
      <c r="U604" s="7"/>
      <c r="V604" s="7"/>
      <c r="W604" s="7"/>
      <c r="X604" s="7"/>
      <c r="Y604" s="7"/>
      <c r="Z604" s="7"/>
      <c r="AA604" s="7"/>
    </row>
    <row r="605" spans="1:27" ht="15.75" hidden="1" customHeight="1" x14ac:dyDescent="0.2">
      <c r="A605" s="7" t="s">
        <v>130</v>
      </c>
      <c r="B605" s="7" t="s">
        <v>322</v>
      </c>
      <c r="C605" s="7" t="s">
        <v>352</v>
      </c>
      <c r="D605" s="7" t="s">
        <v>326</v>
      </c>
      <c r="E605" s="16">
        <v>787853.9</v>
      </c>
      <c r="F605" s="16">
        <v>1072469</v>
      </c>
      <c r="G605" s="16">
        <v>9.6919979999999999</v>
      </c>
      <c r="H605" s="16">
        <v>-84.376792330000001</v>
      </c>
      <c r="I605" s="14">
        <v>354</v>
      </c>
      <c r="J605" s="14" t="s">
        <v>20</v>
      </c>
      <c r="K605" s="10">
        <v>42358</v>
      </c>
      <c r="L605" s="10">
        <v>42555</v>
      </c>
      <c r="M605" s="11">
        <f t="shared" si="23"/>
        <v>198</v>
      </c>
      <c r="N605" s="11">
        <f t="shared" si="1"/>
        <v>198</v>
      </c>
      <c r="O605" s="8" t="s">
        <v>62</v>
      </c>
      <c r="P605" s="7" t="s">
        <v>326</v>
      </c>
      <c r="Q605" s="7"/>
      <c r="R605" s="7"/>
      <c r="S605" s="7"/>
      <c r="T605" s="7"/>
      <c r="U605" s="7"/>
      <c r="V605" s="7"/>
      <c r="W605" s="7"/>
      <c r="X605" s="7"/>
      <c r="Y605" s="7"/>
      <c r="Z605" s="7"/>
      <c r="AA605" s="7"/>
    </row>
    <row r="606" spans="1:27" ht="15.75" hidden="1" customHeight="1" x14ac:dyDescent="0.2">
      <c r="A606" s="14" t="s">
        <v>130</v>
      </c>
      <c r="B606" s="7" t="s">
        <v>322</v>
      </c>
      <c r="C606" s="14" t="s">
        <v>363</v>
      </c>
      <c r="D606" s="7" t="s">
        <v>327</v>
      </c>
      <c r="E606" s="16">
        <v>785199.3</v>
      </c>
      <c r="F606" s="16">
        <v>1074223</v>
      </c>
      <c r="G606" s="16">
        <v>9.7080300000000008</v>
      </c>
      <c r="H606" s="16">
        <v>-84.400844230000004</v>
      </c>
      <c r="I606" s="14">
        <v>584</v>
      </c>
      <c r="J606" s="14" t="s">
        <v>20</v>
      </c>
      <c r="K606" s="10">
        <v>42359</v>
      </c>
      <c r="L606" s="10">
        <v>42426</v>
      </c>
      <c r="M606" s="11">
        <f t="shared" si="23"/>
        <v>68</v>
      </c>
      <c r="N606" s="11">
        <f t="shared" si="1"/>
        <v>68</v>
      </c>
      <c r="O606" s="8" t="s">
        <v>62</v>
      </c>
      <c r="P606" s="7" t="s">
        <v>327</v>
      </c>
      <c r="Q606" s="7"/>
      <c r="R606" s="7"/>
      <c r="S606" s="7"/>
      <c r="T606" s="7"/>
      <c r="U606" s="7"/>
      <c r="V606" s="7"/>
      <c r="W606" s="7"/>
      <c r="X606" s="7"/>
      <c r="Y606" s="7"/>
      <c r="Z606" s="7"/>
      <c r="AA606" s="7"/>
    </row>
    <row r="607" spans="1:27" ht="15.75" hidden="1" customHeight="1" x14ac:dyDescent="0.2">
      <c r="A607" s="14" t="s">
        <v>134</v>
      </c>
      <c r="B607" s="7" t="s">
        <v>322</v>
      </c>
      <c r="C607" s="14" t="s">
        <v>328</v>
      </c>
      <c r="D607" s="7" t="s">
        <v>324</v>
      </c>
      <c r="E607" s="16">
        <v>786170.4</v>
      </c>
      <c r="F607" s="16">
        <v>1073353</v>
      </c>
      <c r="G607" s="16">
        <v>9.7001019999999993</v>
      </c>
      <c r="H607" s="16">
        <v>-84.392060999999998</v>
      </c>
      <c r="I607" s="14">
        <v>338</v>
      </c>
      <c r="J607" s="14" t="s">
        <v>329</v>
      </c>
      <c r="K607" s="10">
        <v>42531</v>
      </c>
      <c r="L607" s="10">
        <v>42655</v>
      </c>
      <c r="M607" s="11">
        <f t="shared" si="23"/>
        <v>125</v>
      </c>
      <c r="N607" s="11">
        <f t="shared" si="1"/>
        <v>125</v>
      </c>
      <c r="O607" s="8" t="s">
        <v>62</v>
      </c>
      <c r="P607" s="7" t="s">
        <v>324</v>
      </c>
    </row>
    <row r="608" spans="1:27" ht="15.75" hidden="1" customHeight="1" x14ac:dyDescent="0.2">
      <c r="A608" s="14" t="s">
        <v>134</v>
      </c>
      <c r="B608" s="7" t="s">
        <v>322</v>
      </c>
      <c r="C608" s="7" t="s">
        <v>341</v>
      </c>
      <c r="D608" s="7" t="s">
        <v>325</v>
      </c>
      <c r="E608" s="16">
        <v>786886.9</v>
      </c>
      <c r="F608" s="16">
        <v>1073236</v>
      </c>
      <c r="G608" s="16">
        <v>9.698995</v>
      </c>
      <c r="H608" s="16">
        <v>-84.385544530000004</v>
      </c>
      <c r="I608" s="14">
        <v>445</v>
      </c>
      <c r="J608" s="14" t="s">
        <v>20</v>
      </c>
      <c r="K608" s="10">
        <v>42501</v>
      </c>
      <c r="L608" s="10">
        <v>42599</v>
      </c>
      <c r="M608" s="18">
        <f t="shared" si="23"/>
        <v>99</v>
      </c>
      <c r="N608" s="11">
        <f t="shared" si="1"/>
        <v>99</v>
      </c>
      <c r="O608" s="8" t="s">
        <v>62</v>
      </c>
      <c r="P608" s="7" t="s">
        <v>325</v>
      </c>
    </row>
    <row r="609" spans="1:16" ht="15.75" hidden="1" customHeight="1" x14ac:dyDescent="0.2">
      <c r="A609" s="7" t="s">
        <v>134</v>
      </c>
      <c r="B609" s="7" t="s">
        <v>322</v>
      </c>
      <c r="C609" s="7" t="s">
        <v>352</v>
      </c>
      <c r="D609" s="7" t="s">
        <v>326</v>
      </c>
      <c r="E609" s="16">
        <v>787853.9</v>
      </c>
      <c r="F609" s="16">
        <v>1072469</v>
      </c>
      <c r="G609" s="16">
        <v>9.6919979999999999</v>
      </c>
      <c r="H609" s="16">
        <v>-84.376792330000001</v>
      </c>
      <c r="I609" s="14">
        <v>354</v>
      </c>
      <c r="J609" s="14" t="s">
        <v>20</v>
      </c>
      <c r="K609" s="10">
        <v>42590</v>
      </c>
      <c r="L609" s="10">
        <v>42651</v>
      </c>
      <c r="M609" s="11">
        <f t="shared" si="23"/>
        <v>62</v>
      </c>
      <c r="N609" s="11">
        <f t="shared" si="1"/>
        <v>62</v>
      </c>
      <c r="O609" s="8" t="s">
        <v>62</v>
      </c>
      <c r="P609" s="7" t="s">
        <v>326</v>
      </c>
    </row>
    <row r="610" spans="1:16" ht="15.75" hidden="1" customHeight="1" x14ac:dyDescent="0.2">
      <c r="A610" s="14" t="s">
        <v>134</v>
      </c>
      <c r="B610" s="7" t="s">
        <v>322</v>
      </c>
      <c r="C610" s="14" t="s">
        <v>363</v>
      </c>
      <c r="D610" s="7" t="s">
        <v>327</v>
      </c>
      <c r="E610" s="16">
        <v>785199.3</v>
      </c>
      <c r="F610" s="16">
        <v>1074223</v>
      </c>
      <c r="G610" s="16">
        <v>9.7080300000000008</v>
      </c>
      <c r="H610" s="16">
        <v>-84.400844230000004</v>
      </c>
      <c r="I610" s="14">
        <v>584</v>
      </c>
      <c r="J610" s="14" t="s">
        <v>20</v>
      </c>
      <c r="K610" s="10">
        <v>42534</v>
      </c>
      <c r="L610" s="10">
        <v>42581</v>
      </c>
      <c r="M610" s="11">
        <f t="shared" si="23"/>
        <v>48</v>
      </c>
      <c r="N610" s="11">
        <f t="shared" si="1"/>
        <v>48</v>
      </c>
      <c r="O610" s="8" t="s">
        <v>62</v>
      </c>
      <c r="P610" s="7" t="s">
        <v>327</v>
      </c>
    </row>
    <row r="611" spans="1:16" ht="15.75" hidden="1" customHeight="1" x14ac:dyDescent="0.2">
      <c r="A611" s="14" t="s">
        <v>134</v>
      </c>
      <c r="B611" s="7" t="s">
        <v>322</v>
      </c>
      <c r="C611" s="14" t="s">
        <v>374</v>
      </c>
      <c r="D611" s="7" t="s">
        <v>372</v>
      </c>
      <c r="E611" s="16">
        <v>786358</v>
      </c>
      <c r="F611" s="16">
        <v>1074051</v>
      </c>
      <c r="G611" s="7">
        <v>9.7064000000000004</v>
      </c>
      <c r="H611" s="7">
        <v>-84.390299999999996</v>
      </c>
      <c r="I611" s="14">
        <v>414</v>
      </c>
      <c r="J611" s="14" t="s">
        <v>26</v>
      </c>
      <c r="K611" s="10">
        <v>42596</v>
      </c>
      <c r="L611" s="10">
        <v>42623</v>
      </c>
      <c r="M611" s="11">
        <f t="shared" si="23"/>
        <v>28</v>
      </c>
      <c r="N611" s="11">
        <f t="shared" si="1"/>
        <v>28</v>
      </c>
      <c r="O611" s="8" t="s">
        <v>62</v>
      </c>
      <c r="P611" s="7" t="s">
        <v>372</v>
      </c>
    </row>
    <row r="612" spans="1:16" ht="15.75" hidden="1" customHeight="1" x14ac:dyDescent="0.2">
      <c r="A612" s="19" t="s">
        <v>130</v>
      </c>
      <c r="B612" s="19" t="s">
        <v>431</v>
      </c>
      <c r="C612" s="19" t="s">
        <v>432</v>
      </c>
      <c r="D612" s="8" t="s">
        <v>433</v>
      </c>
      <c r="E612" s="9">
        <v>191651</v>
      </c>
      <c r="F612" s="9">
        <v>1057356</v>
      </c>
      <c r="G612" s="9">
        <v>9.5540000000000003</v>
      </c>
      <c r="H612" s="9">
        <v>-83.808700000000002</v>
      </c>
      <c r="I612" s="19">
        <v>2291</v>
      </c>
      <c r="J612" s="19" t="s">
        <v>26</v>
      </c>
      <c r="K612" s="10">
        <v>42386</v>
      </c>
      <c r="L612" s="10">
        <v>42426</v>
      </c>
      <c r="M612" s="11">
        <f t="shared" si="23"/>
        <v>41</v>
      </c>
      <c r="N612" s="11">
        <f t="shared" si="1"/>
        <v>41</v>
      </c>
      <c r="O612" s="8"/>
      <c r="P612" s="8" t="s">
        <v>433</v>
      </c>
    </row>
    <row r="613" spans="1:16" ht="15.75" hidden="1" customHeight="1" x14ac:dyDescent="0.2">
      <c r="A613" s="19" t="s">
        <v>130</v>
      </c>
      <c r="B613" s="19" t="s">
        <v>431</v>
      </c>
      <c r="C613" s="19" t="s">
        <v>432</v>
      </c>
      <c r="D613" s="8" t="s">
        <v>434</v>
      </c>
      <c r="E613" s="9">
        <v>191672</v>
      </c>
      <c r="F613" s="9">
        <v>1057312</v>
      </c>
      <c r="G613" s="9">
        <v>9.5535999999999994</v>
      </c>
      <c r="H613" s="9">
        <v>-83.808499999999995</v>
      </c>
      <c r="I613" s="19">
        <v>2291</v>
      </c>
      <c r="J613" s="19" t="s">
        <v>26</v>
      </c>
      <c r="K613" s="10">
        <v>42386</v>
      </c>
      <c r="L613" s="10">
        <v>42426</v>
      </c>
      <c r="M613" s="11">
        <f t="shared" si="23"/>
        <v>41</v>
      </c>
      <c r="N613" s="11">
        <f t="shared" si="1"/>
        <v>41</v>
      </c>
      <c r="O613" s="8"/>
      <c r="P613" s="8" t="s">
        <v>434</v>
      </c>
    </row>
    <row r="614" spans="1:16" ht="15.75" hidden="1" customHeight="1" x14ac:dyDescent="0.2">
      <c r="A614" s="19" t="s">
        <v>130</v>
      </c>
      <c r="B614" s="19" t="s">
        <v>431</v>
      </c>
      <c r="C614" s="19" t="s">
        <v>432</v>
      </c>
      <c r="D614" s="8" t="s">
        <v>435</v>
      </c>
      <c r="E614" s="9">
        <v>191684</v>
      </c>
      <c r="F614" s="9">
        <v>1057356</v>
      </c>
      <c r="G614" s="9">
        <v>9.5540000000000003</v>
      </c>
      <c r="H614" s="9">
        <v>-83.808400000000006</v>
      </c>
      <c r="I614" s="19">
        <v>2287</v>
      </c>
      <c r="J614" s="19" t="s">
        <v>26</v>
      </c>
      <c r="K614" s="10">
        <v>42386</v>
      </c>
      <c r="L614" s="10">
        <v>42426</v>
      </c>
      <c r="M614" s="11">
        <f t="shared" si="23"/>
        <v>41</v>
      </c>
      <c r="N614" s="11">
        <f t="shared" si="1"/>
        <v>41</v>
      </c>
      <c r="O614" s="8"/>
      <c r="P614" s="8" t="s">
        <v>435</v>
      </c>
    </row>
    <row r="615" spans="1:16" ht="15.75" hidden="1" customHeight="1" x14ac:dyDescent="0.2">
      <c r="A615" s="19" t="s">
        <v>130</v>
      </c>
      <c r="B615" s="19" t="s">
        <v>431</v>
      </c>
      <c r="C615" s="19" t="s">
        <v>432</v>
      </c>
      <c r="D615" s="8" t="s">
        <v>436</v>
      </c>
      <c r="E615" s="9">
        <v>191672</v>
      </c>
      <c r="F615" s="9">
        <v>1057312</v>
      </c>
      <c r="G615" s="9">
        <v>9.5535999999999994</v>
      </c>
      <c r="H615" s="9">
        <v>-83.808499999999995</v>
      </c>
      <c r="I615" s="19">
        <v>2292</v>
      </c>
      <c r="J615" s="19" t="s">
        <v>26</v>
      </c>
      <c r="K615" s="10">
        <v>42386</v>
      </c>
      <c r="L615" s="10">
        <v>42426</v>
      </c>
      <c r="M615" s="11">
        <f t="shared" si="23"/>
        <v>41</v>
      </c>
      <c r="N615" s="11">
        <f t="shared" si="1"/>
        <v>41</v>
      </c>
      <c r="O615" s="8"/>
      <c r="P615" s="8" t="s">
        <v>436</v>
      </c>
    </row>
    <row r="616" spans="1:16" ht="15.75" hidden="1" customHeight="1" x14ac:dyDescent="0.2">
      <c r="A616" s="19" t="s">
        <v>130</v>
      </c>
      <c r="B616" s="19" t="s">
        <v>431</v>
      </c>
      <c r="C616" s="19" t="s">
        <v>432</v>
      </c>
      <c r="D616" s="8" t="s">
        <v>437</v>
      </c>
      <c r="E616" s="9">
        <v>191694</v>
      </c>
      <c r="F616" s="9">
        <v>1057323</v>
      </c>
      <c r="G616" s="9">
        <v>9.5536999999999992</v>
      </c>
      <c r="H616" s="9">
        <v>-83.808300000000003</v>
      </c>
      <c r="I616" s="19">
        <v>2285</v>
      </c>
      <c r="J616" s="19" t="s">
        <v>26</v>
      </c>
      <c r="K616" s="10">
        <v>42386</v>
      </c>
      <c r="L616" s="10">
        <v>42426</v>
      </c>
      <c r="M616" s="11">
        <f t="shared" si="23"/>
        <v>41</v>
      </c>
      <c r="N616" s="11">
        <f t="shared" si="1"/>
        <v>41</v>
      </c>
      <c r="O616" s="8"/>
      <c r="P616" s="8" t="s">
        <v>437</v>
      </c>
    </row>
    <row r="617" spans="1:16" ht="15.75" hidden="1" customHeight="1" x14ac:dyDescent="0.2">
      <c r="A617" s="19" t="s">
        <v>438</v>
      </c>
      <c r="B617" s="19" t="s">
        <v>431</v>
      </c>
      <c r="C617" s="19" t="s">
        <v>439</v>
      </c>
      <c r="D617" s="8" t="s">
        <v>440</v>
      </c>
      <c r="E617" s="9">
        <v>186688</v>
      </c>
      <c r="F617" s="9">
        <v>1064617</v>
      </c>
      <c r="G617" s="9">
        <v>9.6193299999999997</v>
      </c>
      <c r="H617" s="9">
        <v>-83.854519999999994</v>
      </c>
      <c r="I617" s="19">
        <v>3166</v>
      </c>
      <c r="J617" s="19" t="s">
        <v>26</v>
      </c>
      <c r="K617" s="10">
        <v>40881</v>
      </c>
      <c r="L617" s="10">
        <v>40953</v>
      </c>
      <c r="M617" s="11">
        <f t="shared" si="23"/>
        <v>73</v>
      </c>
      <c r="N617" s="11">
        <f t="shared" si="1"/>
        <v>73</v>
      </c>
      <c r="O617" s="8"/>
      <c r="P617" s="8">
        <v>27</v>
      </c>
    </row>
    <row r="618" spans="1:16" ht="15.75" hidden="1" customHeight="1" x14ac:dyDescent="0.2">
      <c r="A618" s="19" t="s">
        <v>61</v>
      </c>
      <c r="B618" s="19" t="s">
        <v>431</v>
      </c>
      <c r="C618" s="19" t="s">
        <v>439</v>
      </c>
      <c r="D618" s="8" t="s">
        <v>440</v>
      </c>
      <c r="E618" s="9">
        <v>186688</v>
      </c>
      <c r="F618" s="9">
        <v>1064617</v>
      </c>
      <c r="G618" s="9">
        <v>9.6193329999999992</v>
      </c>
      <c r="H618" s="9">
        <v>-83.854517000000001</v>
      </c>
      <c r="I618" s="19">
        <v>3166</v>
      </c>
      <c r="J618" s="19" t="s">
        <v>26</v>
      </c>
      <c r="K618" s="10">
        <v>41143</v>
      </c>
      <c r="L618" s="10">
        <v>41267</v>
      </c>
      <c r="M618" s="11">
        <f t="shared" si="23"/>
        <v>125</v>
      </c>
      <c r="N618" s="11">
        <f t="shared" si="1"/>
        <v>125</v>
      </c>
      <c r="O618" s="8"/>
      <c r="P618" s="8">
        <v>27</v>
      </c>
    </row>
    <row r="619" spans="1:16" ht="15.75" hidden="1" customHeight="1" x14ac:dyDescent="0.2">
      <c r="A619" s="19" t="s">
        <v>165</v>
      </c>
      <c r="B619" s="19" t="s">
        <v>431</v>
      </c>
      <c r="C619" s="19" t="s">
        <v>439</v>
      </c>
      <c r="D619" s="8" t="s">
        <v>440</v>
      </c>
      <c r="E619" s="9">
        <v>186677</v>
      </c>
      <c r="F619" s="9">
        <v>1064630</v>
      </c>
      <c r="G619" s="9">
        <v>9.6193329999999992</v>
      </c>
      <c r="H619" s="9">
        <v>-83.854517000000001</v>
      </c>
      <c r="I619" s="19">
        <v>3136</v>
      </c>
      <c r="J619" s="19" t="s">
        <v>26</v>
      </c>
      <c r="K619" s="10">
        <v>42552</v>
      </c>
      <c r="L619" s="10">
        <v>42664</v>
      </c>
      <c r="M619" s="11">
        <v>69</v>
      </c>
      <c r="N619" s="11">
        <f t="shared" si="1"/>
        <v>113</v>
      </c>
      <c r="O619" s="8"/>
      <c r="P619" s="8">
        <v>27</v>
      </c>
    </row>
    <row r="620" spans="1:16" ht="15.75" hidden="1" customHeight="1" x14ac:dyDescent="0.2">
      <c r="A620" s="19" t="s">
        <v>128</v>
      </c>
      <c r="B620" s="19" t="s">
        <v>431</v>
      </c>
      <c r="C620" s="19" t="s">
        <v>439</v>
      </c>
      <c r="D620" s="8" t="s">
        <v>440</v>
      </c>
      <c r="E620" s="9">
        <v>186677</v>
      </c>
      <c r="F620" s="9">
        <v>1064630</v>
      </c>
      <c r="G620" s="9">
        <v>9.6193329999999992</v>
      </c>
      <c r="H620" s="9">
        <v>-83.854517000000001</v>
      </c>
      <c r="I620" s="19">
        <v>3136</v>
      </c>
      <c r="J620" s="19" t="s">
        <v>26</v>
      </c>
      <c r="K620" s="10">
        <v>42892</v>
      </c>
      <c r="L620" s="10">
        <v>42983</v>
      </c>
      <c r="M620" s="11">
        <v>92</v>
      </c>
      <c r="N620" s="11">
        <f t="shared" si="1"/>
        <v>92</v>
      </c>
      <c r="O620" s="8"/>
      <c r="P620" s="8">
        <v>27</v>
      </c>
    </row>
    <row r="621" spans="1:16" ht="15.75" hidden="1" customHeight="1" x14ac:dyDescent="0.2">
      <c r="A621" s="19" t="s">
        <v>441</v>
      </c>
      <c r="B621" s="19" t="s">
        <v>431</v>
      </c>
      <c r="C621" s="19" t="s">
        <v>439</v>
      </c>
      <c r="D621" s="8" t="s">
        <v>440</v>
      </c>
      <c r="E621" s="9">
        <v>186688</v>
      </c>
      <c r="F621" s="9">
        <v>1064617</v>
      </c>
      <c r="G621" s="9">
        <v>9.6193329999999992</v>
      </c>
      <c r="H621" s="9">
        <v>-83.854517000000001</v>
      </c>
      <c r="I621" s="19">
        <v>3166</v>
      </c>
      <c r="J621" s="19" t="s">
        <v>26</v>
      </c>
      <c r="K621" s="7"/>
      <c r="L621" s="7"/>
      <c r="M621" s="11">
        <f t="shared" ref="M621:M651" si="24">IF(ISBLANK(K621),0,IF(ISBLANK(L621),0,L621-K621+1))</f>
        <v>0</v>
      </c>
      <c r="N621" s="11">
        <f t="shared" si="1"/>
        <v>0</v>
      </c>
      <c r="O621" s="8"/>
      <c r="P621" s="8">
        <v>27</v>
      </c>
    </row>
    <row r="622" spans="1:16" ht="15.75" hidden="1" customHeight="1" x14ac:dyDescent="0.2">
      <c r="A622" s="19" t="s">
        <v>40</v>
      </c>
      <c r="B622" s="19" t="s">
        <v>431</v>
      </c>
      <c r="C622" s="19" t="s">
        <v>439</v>
      </c>
      <c r="D622" s="8" t="s">
        <v>440</v>
      </c>
      <c r="E622" s="9">
        <v>186688</v>
      </c>
      <c r="F622" s="9">
        <v>1064617</v>
      </c>
      <c r="G622" s="9">
        <v>9.6193329999999992</v>
      </c>
      <c r="H622" s="9">
        <v>-83.854517000000001</v>
      </c>
      <c r="I622" s="19">
        <v>3166</v>
      </c>
      <c r="J622" s="19" t="s">
        <v>26</v>
      </c>
      <c r="K622" s="10">
        <v>41299</v>
      </c>
      <c r="L622" s="10">
        <v>41412</v>
      </c>
      <c r="M622" s="11">
        <f t="shared" si="24"/>
        <v>114</v>
      </c>
      <c r="N622" s="11">
        <f t="shared" si="1"/>
        <v>114</v>
      </c>
      <c r="O622" s="8"/>
      <c r="P622" s="8">
        <v>27</v>
      </c>
    </row>
    <row r="623" spans="1:16" ht="15.75" hidden="1" customHeight="1" x14ac:dyDescent="0.2">
      <c r="A623" s="19" t="s">
        <v>42</v>
      </c>
      <c r="B623" s="19" t="s">
        <v>431</v>
      </c>
      <c r="C623" s="19" t="s">
        <v>439</v>
      </c>
      <c r="D623" s="8" t="s">
        <v>440</v>
      </c>
      <c r="E623" s="9">
        <v>186677</v>
      </c>
      <c r="F623" s="9">
        <v>1064630</v>
      </c>
      <c r="G623" s="9">
        <v>9.6193329999999992</v>
      </c>
      <c r="H623" s="9">
        <v>-83.854517000000001</v>
      </c>
      <c r="I623" s="19">
        <v>3136</v>
      </c>
      <c r="J623" s="19" t="s">
        <v>26</v>
      </c>
      <c r="K623" s="10">
        <v>41711</v>
      </c>
      <c r="L623" s="10">
        <v>41711</v>
      </c>
      <c r="M623" s="11">
        <f t="shared" si="24"/>
        <v>1</v>
      </c>
      <c r="N623" s="11">
        <f t="shared" si="1"/>
        <v>1</v>
      </c>
      <c r="O623" s="8"/>
      <c r="P623" s="8">
        <v>27</v>
      </c>
    </row>
    <row r="624" spans="1:16" ht="15.75" hidden="1" customHeight="1" x14ac:dyDescent="0.2">
      <c r="A624" s="19" t="s">
        <v>47</v>
      </c>
      <c r="B624" s="19" t="s">
        <v>431</v>
      </c>
      <c r="C624" s="19" t="s">
        <v>439</v>
      </c>
      <c r="D624" s="8" t="s">
        <v>440</v>
      </c>
      <c r="E624" s="9">
        <v>186677</v>
      </c>
      <c r="F624" s="9">
        <v>1064630</v>
      </c>
      <c r="G624" s="9">
        <v>9.6193329999999992</v>
      </c>
      <c r="H624" s="9">
        <v>-83.854517000000001</v>
      </c>
      <c r="I624" s="19">
        <v>3136</v>
      </c>
      <c r="J624" s="19" t="s">
        <v>26</v>
      </c>
      <c r="K624" s="10">
        <v>41984</v>
      </c>
      <c r="L624" s="10">
        <v>42091</v>
      </c>
      <c r="M624" s="11">
        <f t="shared" si="24"/>
        <v>108</v>
      </c>
      <c r="N624" s="11">
        <f t="shared" si="1"/>
        <v>108</v>
      </c>
      <c r="O624" s="8"/>
      <c r="P624" s="8">
        <v>27</v>
      </c>
    </row>
    <row r="625" spans="1:27" ht="15.75" hidden="1" customHeight="1" x14ac:dyDescent="0.2">
      <c r="A625" s="19" t="s">
        <v>130</v>
      </c>
      <c r="B625" s="19" t="s">
        <v>431</v>
      </c>
      <c r="C625" s="19" t="s">
        <v>439</v>
      </c>
      <c r="D625" s="8" t="s">
        <v>440</v>
      </c>
      <c r="E625" s="9">
        <v>186677</v>
      </c>
      <c r="F625" s="9">
        <v>1064630</v>
      </c>
      <c r="G625" s="9">
        <v>9.6193329999999992</v>
      </c>
      <c r="H625" s="9">
        <v>-83.854517000000001</v>
      </c>
      <c r="I625" s="19">
        <v>3136</v>
      </c>
      <c r="J625" s="19" t="s">
        <v>26</v>
      </c>
      <c r="K625" s="10">
        <v>42453</v>
      </c>
      <c r="L625" s="10">
        <v>42526</v>
      </c>
      <c r="M625" s="11">
        <f t="shared" si="24"/>
        <v>74</v>
      </c>
      <c r="N625" s="11">
        <f t="shared" si="1"/>
        <v>74</v>
      </c>
      <c r="O625" s="8"/>
      <c r="P625" s="8">
        <v>27</v>
      </c>
    </row>
    <row r="626" spans="1:27" ht="15.75" hidden="1" customHeight="1" x14ac:dyDescent="0.2">
      <c r="A626" s="19" t="s">
        <v>131</v>
      </c>
      <c r="B626" s="19" t="s">
        <v>431</v>
      </c>
      <c r="C626" s="19" t="s">
        <v>439</v>
      </c>
      <c r="D626" s="8" t="s">
        <v>440</v>
      </c>
      <c r="E626" s="9">
        <v>186677</v>
      </c>
      <c r="F626" s="9">
        <v>1064630</v>
      </c>
      <c r="G626" s="9">
        <v>9.6193329999999992</v>
      </c>
      <c r="H626" s="9">
        <v>-83.854517000000001</v>
      </c>
      <c r="I626" s="19">
        <v>3136</v>
      </c>
      <c r="J626" s="19" t="s">
        <v>26</v>
      </c>
      <c r="K626" s="10">
        <v>42818</v>
      </c>
      <c r="L626" s="10">
        <v>42891</v>
      </c>
      <c r="M626" s="11">
        <f t="shared" si="24"/>
        <v>74</v>
      </c>
      <c r="N626" s="11">
        <f t="shared" si="1"/>
        <v>74</v>
      </c>
      <c r="O626" s="8"/>
      <c r="P626" s="8">
        <v>27</v>
      </c>
    </row>
    <row r="627" spans="1:27" ht="15.75" hidden="1" customHeight="1" x14ac:dyDescent="0.2">
      <c r="A627" s="19" t="s">
        <v>132</v>
      </c>
      <c r="B627" s="19" t="s">
        <v>431</v>
      </c>
      <c r="C627" s="19" t="s">
        <v>439</v>
      </c>
      <c r="D627" s="8" t="s">
        <v>440</v>
      </c>
      <c r="E627" s="9">
        <v>186677</v>
      </c>
      <c r="F627" s="9">
        <v>1064630</v>
      </c>
      <c r="G627" s="9">
        <v>9.6193329999999992</v>
      </c>
      <c r="H627" s="9">
        <v>-83.854517000000001</v>
      </c>
      <c r="I627" s="19">
        <v>3136</v>
      </c>
      <c r="J627" s="19" t="s">
        <v>26</v>
      </c>
      <c r="K627" s="10">
        <v>42984</v>
      </c>
      <c r="L627" s="10">
        <v>43277</v>
      </c>
      <c r="M627" s="11">
        <f t="shared" si="24"/>
        <v>294</v>
      </c>
      <c r="N627" s="11">
        <f t="shared" si="1"/>
        <v>294</v>
      </c>
      <c r="O627" s="8" t="s">
        <v>442</v>
      </c>
      <c r="P627" s="8">
        <v>27</v>
      </c>
    </row>
    <row r="628" spans="1:27" ht="15.75" hidden="1" customHeight="1" x14ac:dyDescent="0.2">
      <c r="A628" s="19" t="s">
        <v>443</v>
      </c>
      <c r="B628" s="19" t="s">
        <v>431</v>
      </c>
      <c r="C628" s="19" t="s">
        <v>439</v>
      </c>
      <c r="D628" s="8" t="s">
        <v>440</v>
      </c>
      <c r="E628" s="9">
        <v>186688</v>
      </c>
      <c r="F628" s="9">
        <v>1064617</v>
      </c>
      <c r="G628" s="9">
        <v>9.6193299999999997</v>
      </c>
      <c r="H628" s="9">
        <v>-83.854519999999994</v>
      </c>
      <c r="I628" s="19">
        <v>3166</v>
      </c>
      <c r="J628" s="19" t="s">
        <v>26</v>
      </c>
      <c r="K628" s="10">
        <v>40710</v>
      </c>
      <c r="L628" s="10">
        <v>40759</v>
      </c>
      <c r="M628" s="11">
        <f t="shared" si="24"/>
        <v>50</v>
      </c>
      <c r="N628" s="11">
        <f t="shared" si="1"/>
        <v>50</v>
      </c>
      <c r="O628" s="8"/>
      <c r="P628" s="8">
        <v>27</v>
      </c>
    </row>
    <row r="629" spans="1:27" ht="15.75" hidden="1" customHeight="1" x14ac:dyDescent="0.2">
      <c r="A629" s="19" t="s">
        <v>52</v>
      </c>
      <c r="B629" s="19" t="s">
        <v>431</v>
      </c>
      <c r="C629" s="19" t="s">
        <v>439</v>
      </c>
      <c r="D629" s="8" t="s">
        <v>440</v>
      </c>
      <c r="E629" s="9">
        <v>186688</v>
      </c>
      <c r="F629" s="9">
        <v>1064617</v>
      </c>
      <c r="G629" s="9">
        <v>9.6193299999999997</v>
      </c>
      <c r="H629" s="9">
        <v>-83.854519999999994</v>
      </c>
      <c r="I629" s="19">
        <v>3166</v>
      </c>
      <c r="J629" s="19" t="s">
        <v>26</v>
      </c>
      <c r="K629" s="10">
        <v>41082</v>
      </c>
      <c r="L629" s="10">
        <v>41113</v>
      </c>
      <c r="M629" s="11">
        <f t="shared" si="24"/>
        <v>32</v>
      </c>
      <c r="N629" s="11">
        <f t="shared" si="1"/>
        <v>32</v>
      </c>
      <c r="O629" s="8"/>
      <c r="P629" s="8">
        <v>27</v>
      </c>
    </row>
    <row r="630" spans="1:27" ht="15.75" hidden="1" customHeight="1" x14ac:dyDescent="0.2">
      <c r="A630" s="19" t="s">
        <v>193</v>
      </c>
      <c r="B630" s="19" t="s">
        <v>431</v>
      </c>
      <c r="C630" s="19" t="s">
        <v>439</v>
      </c>
      <c r="D630" s="8" t="s">
        <v>440</v>
      </c>
      <c r="E630" s="9">
        <v>186688</v>
      </c>
      <c r="F630" s="9">
        <v>1064617</v>
      </c>
      <c r="G630" s="9">
        <v>9.6193329999999992</v>
      </c>
      <c r="H630" s="9">
        <v>-83.854517000000001</v>
      </c>
      <c r="I630" s="19">
        <v>3166</v>
      </c>
      <c r="J630" s="19" t="s">
        <v>26</v>
      </c>
      <c r="K630" s="10">
        <v>41455</v>
      </c>
      <c r="L630" s="10">
        <v>41477</v>
      </c>
      <c r="M630" s="11">
        <f t="shared" si="24"/>
        <v>23</v>
      </c>
      <c r="N630" s="11">
        <f t="shared" si="1"/>
        <v>23</v>
      </c>
      <c r="O630" s="8"/>
      <c r="P630" s="8">
        <v>27</v>
      </c>
    </row>
    <row r="631" spans="1:27" ht="15.75" hidden="1" customHeight="1" x14ac:dyDescent="0.2">
      <c r="A631" s="20" t="s">
        <v>297</v>
      </c>
      <c r="B631" s="20" t="s">
        <v>431</v>
      </c>
      <c r="C631" s="20" t="s">
        <v>439</v>
      </c>
      <c r="D631" s="21" t="s">
        <v>440</v>
      </c>
      <c r="E631" s="22">
        <v>186677</v>
      </c>
      <c r="F631" s="22">
        <v>1064630</v>
      </c>
      <c r="G631" s="22">
        <v>9.6193329999999992</v>
      </c>
      <c r="H631" s="22">
        <v>-83.854517000000001</v>
      </c>
      <c r="I631" s="20">
        <v>3136</v>
      </c>
      <c r="J631" s="20" t="s">
        <v>26</v>
      </c>
      <c r="K631" s="23"/>
      <c r="L631" s="20"/>
      <c r="M631" s="24">
        <f t="shared" si="24"/>
        <v>0</v>
      </c>
      <c r="N631" s="11">
        <f t="shared" si="1"/>
        <v>0</v>
      </c>
      <c r="O631" s="25"/>
      <c r="P631" s="21">
        <v>27</v>
      </c>
    </row>
    <row r="632" spans="1:27" ht="15.75" hidden="1" customHeight="1" x14ac:dyDescent="0.2">
      <c r="A632" s="14" t="s">
        <v>444</v>
      </c>
      <c r="B632" s="14" t="s">
        <v>431</v>
      </c>
      <c r="C632" s="14" t="s">
        <v>439</v>
      </c>
      <c r="D632" s="15" t="s">
        <v>440</v>
      </c>
      <c r="E632" s="16">
        <v>186677</v>
      </c>
      <c r="F632" s="16">
        <v>1064630</v>
      </c>
      <c r="G632" s="16">
        <v>9.6193329999999992</v>
      </c>
      <c r="H632" s="16">
        <v>-83.854517000000001</v>
      </c>
      <c r="I632" s="14">
        <v>3136</v>
      </c>
      <c r="J632" s="14" t="s">
        <v>26</v>
      </c>
      <c r="K632" s="17">
        <v>43304</v>
      </c>
      <c r="L632" s="17">
        <v>43629</v>
      </c>
      <c r="M632" s="18">
        <f t="shared" si="24"/>
        <v>326</v>
      </c>
      <c r="N632" s="11">
        <f t="shared" si="1"/>
        <v>326</v>
      </c>
      <c r="O632" s="15" t="s">
        <v>445</v>
      </c>
      <c r="P632" s="15">
        <v>27</v>
      </c>
      <c r="Q632" s="7"/>
      <c r="R632" s="7"/>
      <c r="S632" s="7"/>
      <c r="T632" s="7"/>
      <c r="U632" s="7"/>
      <c r="V632" s="7"/>
      <c r="W632" s="7"/>
      <c r="X632" s="7"/>
      <c r="Y632" s="7"/>
      <c r="Z632" s="7"/>
      <c r="AA632" s="7"/>
    </row>
    <row r="633" spans="1:27" ht="15.75" hidden="1" customHeight="1" x14ac:dyDescent="0.2">
      <c r="A633" s="7" t="s">
        <v>40</v>
      </c>
      <c r="B633" s="19" t="s">
        <v>431</v>
      </c>
      <c r="C633" s="19" t="s">
        <v>439</v>
      </c>
      <c r="D633" s="8" t="s">
        <v>446</v>
      </c>
      <c r="E633" s="9">
        <v>186470</v>
      </c>
      <c r="F633" s="9">
        <v>1064101</v>
      </c>
      <c r="G633" s="9">
        <v>9.6145329999999998</v>
      </c>
      <c r="H633" s="9">
        <v>-83.856367000000006</v>
      </c>
      <c r="I633" s="19">
        <v>3087</v>
      </c>
      <c r="J633" s="19" t="s">
        <v>26</v>
      </c>
      <c r="K633" s="10">
        <v>41281</v>
      </c>
      <c r="L633" s="10">
        <v>41444</v>
      </c>
      <c r="M633" s="11">
        <f t="shared" si="24"/>
        <v>164</v>
      </c>
      <c r="N633" s="11">
        <f t="shared" si="1"/>
        <v>164</v>
      </c>
      <c r="O633" s="8" t="s">
        <v>27</v>
      </c>
      <c r="P633" s="8">
        <v>26</v>
      </c>
    </row>
    <row r="634" spans="1:27" ht="15.75" hidden="1" customHeight="1" x14ac:dyDescent="0.2">
      <c r="A634" s="7" t="s">
        <v>42</v>
      </c>
      <c r="B634" s="19" t="s">
        <v>431</v>
      </c>
      <c r="C634" s="19" t="s">
        <v>439</v>
      </c>
      <c r="D634" s="8" t="s">
        <v>446</v>
      </c>
      <c r="E634" s="9">
        <v>186470</v>
      </c>
      <c r="F634" s="9">
        <v>1064101</v>
      </c>
      <c r="G634" s="9">
        <v>9.6145329999999998</v>
      </c>
      <c r="H634" s="9">
        <v>-83.856367000000006</v>
      </c>
      <c r="I634" s="19">
        <v>3087</v>
      </c>
      <c r="J634" s="19" t="s">
        <v>26</v>
      </c>
      <c r="K634" s="10">
        <v>41644</v>
      </c>
      <c r="L634" s="10">
        <v>41770</v>
      </c>
      <c r="M634" s="11">
        <f t="shared" si="24"/>
        <v>127</v>
      </c>
      <c r="N634" s="11">
        <f t="shared" si="1"/>
        <v>127</v>
      </c>
      <c r="O634" s="8" t="s">
        <v>27</v>
      </c>
      <c r="P634" s="8">
        <v>26</v>
      </c>
    </row>
    <row r="635" spans="1:27" ht="15.75" hidden="1" customHeight="1" x14ac:dyDescent="0.2">
      <c r="A635" s="7" t="s">
        <v>47</v>
      </c>
      <c r="B635" s="19" t="s">
        <v>431</v>
      </c>
      <c r="C635" s="19" t="s">
        <v>439</v>
      </c>
      <c r="D635" s="8" t="s">
        <v>446</v>
      </c>
      <c r="E635" s="9">
        <v>186470</v>
      </c>
      <c r="F635" s="9">
        <v>1064101</v>
      </c>
      <c r="G635" s="9">
        <v>9.6145329999999998</v>
      </c>
      <c r="H635" s="9">
        <v>-83.856367000000006</v>
      </c>
      <c r="I635" s="19">
        <v>3087</v>
      </c>
      <c r="J635" s="19" t="s">
        <v>26</v>
      </c>
      <c r="K635" s="10">
        <v>41995</v>
      </c>
      <c r="L635" s="10">
        <v>42046</v>
      </c>
      <c r="M635" s="11">
        <f t="shared" si="24"/>
        <v>52</v>
      </c>
      <c r="N635" s="11">
        <f t="shared" si="1"/>
        <v>52</v>
      </c>
      <c r="O635" s="8" t="s">
        <v>27</v>
      </c>
      <c r="P635" s="8">
        <v>26</v>
      </c>
    </row>
    <row r="636" spans="1:27" ht="15.75" hidden="1" customHeight="1" x14ac:dyDescent="0.2">
      <c r="A636" s="7" t="s">
        <v>131</v>
      </c>
      <c r="B636" s="19" t="s">
        <v>431</v>
      </c>
      <c r="C636" s="19" t="s">
        <v>439</v>
      </c>
      <c r="D636" s="8" t="s">
        <v>446</v>
      </c>
      <c r="E636" s="9">
        <v>186470</v>
      </c>
      <c r="F636" s="9">
        <v>1064101</v>
      </c>
      <c r="G636" s="9">
        <v>9.6145329999999998</v>
      </c>
      <c r="H636" s="9">
        <v>-83.856367000000006</v>
      </c>
      <c r="I636" s="19">
        <v>3087</v>
      </c>
      <c r="J636" s="19" t="s">
        <v>26</v>
      </c>
      <c r="K636" s="10">
        <v>42819</v>
      </c>
      <c r="L636" s="10">
        <v>42889</v>
      </c>
      <c r="M636" s="11">
        <f t="shared" si="24"/>
        <v>71</v>
      </c>
      <c r="N636" s="11">
        <f t="shared" si="1"/>
        <v>71</v>
      </c>
      <c r="O636" s="8" t="s">
        <v>27</v>
      </c>
      <c r="P636" s="8">
        <v>26</v>
      </c>
    </row>
    <row r="637" spans="1:27" ht="15.75" hidden="1" customHeight="1" x14ac:dyDescent="0.2">
      <c r="A637" s="19" t="s">
        <v>132</v>
      </c>
      <c r="B637" s="19" t="s">
        <v>431</v>
      </c>
      <c r="C637" s="19" t="s">
        <v>439</v>
      </c>
      <c r="D637" s="8" t="s">
        <v>446</v>
      </c>
      <c r="E637" s="9">
        <v>186470</v>
      </c>
      <c r="F637" s="9">
        <v>1064101</v>
      </c>
      <c r="G637" s="9">
        <v>9.6145329999999998</v>
      </c>
      <c r="H637" s="9">
        <v>-83.856367000000006</v>
      </c>
      <c r="I637" s="19">
        <v>3087</v>
      </c>
      <c r="J637" s="19" t="s">
        <v>26</v>
      </c>
      <c r="K637" s="10">
        <v>42890</v>
      </c>
      <c r="L637" s="10">
        <v>43277</v>
      </c>
      <c r="M637" s="11">
        <f t="shared" si="24"/>
        <v>388</v>
      </c>
      <c r="N637" s="11">
        <f t="shared" si="1"/>
        <v>388</v>
      </c>
      <c r="O637" s="8" t="s">
        <v>447</v>
      </c>
      <c r="P637" s="8">
        <v>26</v>
      </c>
    </row>
    <row r="638" spans="1:27" ht="15.75" hidden="1" customHeight="1" x14ac:dyDescent="0.2">
      <c r="A638" s="19" t="s">
        <v>443</v>
      </c>
      <c r="B638" s="19" t="s">
        <v>431</v>
      </c>
      <c r="C638" s="19" t="s">
        <v>439</v>
      </c>
      <c r="D638" s="8" t="s">
        <v>446</v>
      </c>
      <c r="E638" s="9">
        <v>186462</v>
      </c>
      <c r="F638" s="9">
        <v>1064091</v>
      </c>
      <c r="G638" s="9">
        <v>9.6145300000000002</v>
      </c>
      <c r="H638" s="9">
        <v>-83.856369999999998</v>
      </c>
      <c r="I638" s="19">
        <v>3101</v>
      </c>
      <c r="J638" s="19" t="s">
        <v>26</v>
      </c>
      <c r="K638" s="10">
        <v>40710</v>
      </c>
      <c r="L638" s="10">
        <v>40759</v>
      </c>
      <c r="M638" s="11">
        <f t="shared" si="24"/>
        <v>50</v>
      </c>
      <c r="N638" s="11">
        <f t="shared" si="1"/>
        <v>50</v>
      </c>
      <c r="O638" s="8"/>
      <c r="P638" s="8">
        <v>26</v>
      </c>
    </row>
    <row r="639" spans="1:27" ht="15.75" hidden="1" customHeight="1" x14ac:dyDescent="0.2">
      <c r="A639" s="7" t="s">
        <v>61</v>
      </c>
      <c r="B639" s="19" t="s">
        <v>431</v>
      </c>
      <c r="C639" s="19" t="s">
        <v>439</v>
      </c>
      <c r="D639" s="8" t="s">
        <v>446</v>
      </c>
      <c r="E639" s="9">
        <v>186462</v>
      </c>
      <c r="F639" s="9">
        <v>1064091</v>
      </c>
      <c r="G639" s="9">
        <v>9.6145300000000002</v>
      </c>
      <c r="H639" s="9">
        <v>-83.856369999999998</v>
      </c>
      <c r="I639" s="19">
        <v>3101</v>
      </c>
      <c r="J639" s="19" t="s">
        <v>26</v>
      </c>
      <c r="K639" s="10">
        <v>41140</v>
      </c>
      <c r="L639" s="10">
        <v>41280</v>
      </c>
      <c r="M639" s="11">
        <f t="shared" si="24"/>
        <v>141</v>
      </c>
      <c r="N639" s="11">
        <f t="shared" si="1"/>
        <v>141</v>
      </c>
      <c r="O639" s="8" t="s">
        <v>27</v>
      </c>
      <c r="P639" s="8">
        <v>26</v>
      </c>
    </row>
    <row r="640" spans="1:27" ht="15.75" hidden="1" customHeight="1" x14ac:dyDescent="0.2">
      <c r="A640" s="7" t="s">
        <v>16</v>
      </c>
      <c r="B640" s="19" t="s">
        <v>431</v>
      </c>
      <c r="C640" s="19" t="s">
        <v>439</v>
      </c>
      <c r="D640" s="8" t="s">
        <v>446</v>
      </c>
      <c r="E640" s="9">
        <v>186462</v>
      </c>
      <c r="F640" s="9">
        <v>1064091</v>
      </c>
      <c r="G640" s="9">
        <v>9.6145300000000002</v>
      </c>
      <c r="H640" s="9">
        <v>-83.856369999999998</v>
      </c>
      <c r="I640" s="19">
        <v>3101</v>
      </c>
      <c r="J640" s="19" t="s">
        <v>26</v>
      </c>
      <c r="K640" s="10">
        <v>41472</v>
      </c>
      <c r="L640" s="10">
        <v>41626</v>
      </c>
      <c r="M640" s="11">
        <f t="shared" si="24"/>
        <v>155</v>
      </c>
      <c r="N640" s="11">
        <f t="shared" si="1"/>
        <v>155</v>
      </c>
      <c r="O640" s="8" t="s">
        <v>27</v>
      </c>
      <c r="P640" s="8">
        <v>26</v>
      </c>
    </row>
    <row r="641" spans="1:16" ht="15.75" hidden="1" customHeight="1" x14ac:dyDescent="0.2">
      <c r="A641" s="7" t="s">
        <v>165</v>
      </c>
      <c r="B641" s="19" t="s">
        <v>431</v>
      </c>
      <c r="C641" s="19" t="s">
        <v>439</v>
      </c>
      <c r="D641" s="8" t="s">
        <v>446</v>
      </c>
      <c r="E641" s="9">
        <v>186462</v>
      </c>
      <c r="F641" s="9">
        <v>1064091</v>
      </c>
      <c r="G641" s="9">
        <v>9.6145300000000002</v>
      </c>
      <c r="H641" s="9">
        <v>-83.856369999999998</v>
      </c>
      <c r="I641" s="19">
        <v>3101</v>
      </c>
      <c r="J641" s="19" t="s">
        <v>26</v>
      </c>
      <c r="K641" s="10">
        <v>42555</v>
      </c>
      <c r="L641" s="10">
        <v>42669</v>
      </c>
      <c r="M641" s="11">
        <f t="shared" si="24"/>
        <v>115</v>
      </c>
      <c r="N641" s="11">
        <f t="shared" si="1"/>
        <v>115</v>
      </c>
      <c r="O641" s="8" t="s">
        <v>27</v>
      </c>
      <c r="P641" s="8">
        <v>26</v>
      </c>
    </row>
    <row r="642" spans="1:16" ht="15.75" hidden="1" customHeight="1" x14ac:dyDescent="0.2">
      <c r="A642" s="19" t="s">
        <v>52</v>
      </c>
      <c r="B642" s="19" t="s">
        <v>431</v>
      </c>
      <c r="C642" s="19" t="s">
        <v>439</v>
      </c>
      <c r="D642" s="8" t="s">
        <v>446</v>
      </c>
      <c r="E642" s="9">
        <v>186462</v>
      </c>
      <c r="F642" s="9">
        <v>1064091</v>
      </c>
      <c r="G642" s="9">
        <v>9.6145300000000002</v>
      </c>
      <c r="H642" s="9">
        <v>-83.856369999999998</v>
      </c>
      <c r="I642" s="19">
        <v>3101</v>
      </c>
      <c r="J642" s="19" t="s">
        <v>26</v>
      </c>
      <c r="K642" s="10">
        <v>41082</v>
      </c>
      <c r="L642" s="10">
        <v>41113</v>
      </c>
      <c r="M642" s="11">
        <f t="shared" si="24"/>
        <v>32</v>
      </c>
      <c r="N642" s="11">
        <f t="shared" si="1"/>
        <v>32</v>
      </c>
      <c r="O642" s="8"/>
      <c r="P642" s="8">
        <v>26</v>
      </c>
    </row>
    <row r="643" spans="1:16" ht="15.75" hidden="1" customHeight="1" x14ac:dyDescent="0.2">
      <c r="A643" s="19" t="s">
        <v>193</v>
      </c>
      <c r="B643" s="19" t="s">
        <v>431</v>
      </c>
      <c r="C643" s="19" t="s">
        <v>439</v>
      </c>
      <c r="D643" s="8" t="s">
        <v>446</v>
      </c>
      <c r="E643" s="9">
        <v>186462</v>
      </c>
      <c r="F643" s="9">
        <v>1064091</v>
      </c>
      <c r="G643" s="9">
        <v>9.6145329999999998</v>
      </c>
      <c r="H643" s="9">
        <v>-83.856367000000006</v>
      </c>
      <c r="I643" s="19">
        <v>3101</v>
      </c>
      <c r="J643" s="19" t="s">
        <v>26</v>
      </c>
      <c r="K643" s="10">
        <v>41460</v>
      </c>
      <c r="L643" s="10">
        <v>41484</v>
      </c>
      <c r="M643" s="11">
        <f t="shared" si="24"/>
        <v>25</v>
      </c>
      <c r="N643" s="11">
        <f t="shared" si="1"/>
        <v>25</v>
      </c>
      <c r="O643" s="8"/>
      <c r="P643" s="8">
        <v>26</v>
      </c>
    </row>
    <row r="644" spans="1:16" ht="15.75" hidden="1" customHeight="1" x14ac:dyDescent="0.2">
      <c r="A644" s="19" t="s">
        <v>182</v>
      </c>
      <c r="B644" s="19" t="s">
        <v>431</v>
      </c>
      <c r="C644" s="19" t="s">
        <v>439</v>
      </c>
      <c r="D644" s="8" t="s">
        <v>446</v>
      </c>
      <c r="E644" s="9">
        <v>186470</v>
      </c>
      <c r="F644" s="9">
        <v>1064101</v>
      </c>
      <c r="G644" s="9">
        <v>9.6145329999999998</v>
      </c>
      <c r="H644" s="9">
        <v>-83.856367000000006</v>
      </c>
      <c r="I644" s="19">
        <v>3087</v>
      </c>
      <c r="J644" s="19" t="s">
        <v>26</v>
      </c>
      <c r="K644" s="10">
        <v>41812</v>
      </c>
      <c r="L644" s="10">
        <v>41845</v>
      </c>
      <c r="M644" s="11">
        <f t="shared" si="24"/>
        <v>34</v>
      </c>
      <c r="N644" s="11">
        <f t="shared" si="1"/>
        <v>34</v>
      </c>
      <c r="O644" s="8"/>
      <c r="P644" s="8">
        <v>26</v>
      </c>
    </row>
    <row r="645" spans="1:16" ht="15.75" hidden="1" customHeight="1" x14ac:dyDescent="0.2">
      <c r="A645" s="20" t="s">
        <v>297</v>
      </c>
      <c r="B645" s="20" t="s">
        <v>431</v>
      </c>
      <c r="C645" s="20" t="s">
        <v>439</v>
      </c>
      <c r="D645" s="21" t="s">
        <v>446</v>
      </c>
      <c r="E645" s="22">
        <v>186470</v>
      </c>
      <c r="F645" s="22">
        <v>1064101</v>
      </c>
      <c r="G645" s="22">
        <v>9.6145329999999998</v>
      </c>
      <c r="H645" s="22">
        <v>-83.856367000000006</v>
      </c>
      <c r="I645" s="20">
        <v>3087</v>
      </c>
      <c r="J645" s="20" t="s">
        <v>26</v>
      </c>
      <c r="K645" s="23"/>
      <c r="L645" s="20"/>
      <c r="M645" s="24">
        <f t="shared" si="24"/>
        <v>0</v>
      </c>
      <c r="N645" s="11">
        <f t="shared" si="1"/>
        <v>0</v>
      </c>
      <c r="O645" s="25"/>
      <c r="P645" s="21">
        <v>26</v>
      </c>
    </row>
    <row r="646" spans="1:16" ht="15.75" hidden="1" customHeight="1" x14ac:dyDescent="0.2">
      <c r="A646" s="14" t="s">
        <v>444</v>
      </c>
      <c r="B646" s="14" t="s">
        <v>431</v>
      </c>
      <c r="C646" s="14" t="s">
        <v>439</v>
      </c>
      <c r="D646" s="15" t="s">
        <v>446</v>
      </c>
      <c r="E646" s="16">
        <v>186470</v>
      </c>
      <c r="F646" s="16">
        <v>1064101</v>
      </c>
      <c r="G646" s="16">
        <v>9.6145329999999998</v>
      </c>
      <c r="H646" s="16">
        <v>-83.856367000000006</v>
      </c>
      <c r="I646" s="14">
        <v>3087</v>
      </c>
      <c r="J646" s="14" t="s">
        <v>26</v>
      </c>
      <c r="K646" s="17">
        <v>43304</v>
      </c>
      <c r="L646" s="17">
        <v>43629</v>
      </c>
      <c r="M646" s="18">
        <f t="shared" si="24"/>
        <v>326</v>
      </c>
      <c r="N646" s="11">
        <f t="shared" si="1"/>
        <v>326</v>
      </c>
      <c r="O646" s="15" t="s">
        <v>448</v>
      </c>
      <c r="P646" s="15">
        <v>26</v>
      </c>
    </row>
    <row r="647" spans="1:16" ht="15.75" hidden="1" customHeight="1" x14ac:dyDescent="0.2">
      <c r="A647" s="19" t="s">
        <v>182</v>
      </c>
      <c r="B647" s="19" t="s">
        <v>431</v>
      </c>
      <c r="C647" s="19" t="s">
        <v>449</v>
      </c>
      <c r="D647" s="8" t="s">
        <v>450</v>
      </c>
      <c r="E647" s="9">
        <v>195168</v>
      </c>
      <c r="F647" s="9">
        <v>1057332</v>
      </c>
      <c r="G647" s="9">
        <v>9.5540310000000002</v>
      </c>
      <c r="H647" s="9">
        <v>-83.776689000000005</v>
      </c>
      <c r="I647" s="19">
        <v>3024</v>
      </c>
      <c r="J647" s="19" t="s">
        <v>26</v>
      </c>
      <c r="K647" s="10">
        <v>41824</v>
      </c>
      <c r="L647" s="10">
        <v>41838</v>
      </c>
      <c r="M647" s="11">
        <f t="shared" si="24"/>
        <v>15</v>
      </c>
      <c r="N647" s="11">
        <f t="shared" si="1"/>
        <v>15</v>
      </c>
      <c r="O647" s="8"/>
      <c r="P647" s="8">
        <v>8</v>
      </c>
    </row>
    <row r="648" spans="1:16" ht="15.75" hidden="1" customHeight="1" x14ac:dyDescent="0.2">
      <c r="A648" s="19" t="s">
        <v>133</v>
      </c>
      <c r="B648" s="19" t="s">
        <v>431</v>
      </c>
      <c r="C648" s="19" t="s">
        <v>449</v>
      </c>
      <c r="D648" s="8" t="s">
        <v>450</v>
      </c>
      <c r="E648" s="9">
        <v>195168</v>
      </c>
      <c r="F648" s="9">
        <v>1057332</v>
      </c>
      <c r="G648" s="9">
        <v>9.5540310000000002</v>
      </c>
      <c r="H648" s="9">
        <v>-83.776689000000005</v>
      </c>
      <c r="I648" s="19">
        <v>3024</v>
      </c>
      <c r="J648" s="19" t="s">
        <v>26</v>
      </c>
      <c r="K648" s="10">
        <v>42163</v>
      </c>
      <c r="L648" s="10">
        <v>42172</v>
      </c>
      <c r="M648" s="11">
        <f t="shared" si="24"/>
        <v>10</v>
      </c>
      <c r="N648" s="11">
        <f t="shared" si="1"/>
        <v>10</v>
      </c>
      <c r="O648" s="8"/>
      <c r="P648" s="8">
        <v>8</v>
      </c>
    </row>
    <row r="649" spans="1:16" ht="15.75" hidden="1" customHeight="1" x14ac:dyDescent="0.2">
      <c r="A649" s="19" t="s">
        <v>438</v>
      </c>
      <c r="B649" s="19" t="s">
        <v>431</v>
      </c>
      <c r="C649" s="19" t="s">
        <v>449</v>
      </c>
      <c r="D649" s="8" t="s">
        <v>451</v>
      </c>
      <c r="E649" s="9">
        <v>194227</v>
      </c>
      <c r="F649" s="9">
        <v>1056860</v>
      </c>
      <c r="G649" s="9">
        <v>9.5496999999999996</v>
      </c>
      <c r="H649" s="9">
        <v>-83.785217000000003</v>
      </c>
      <c r="I649" s="19">
        <v>2847</v>
      </c>
      <c r="J649" s="19" t="s">
        <v>26</v>
      </c>
      <c r="K649" s="7"/>
      <c r="L649" s="7"/>
      <c r="M649" s="11">
        <f t="shared" si="24"/>
        <v>0</v>
      </c>
      <c r="N649" s="11">
        <f t="shared" si="1"/>
        <v>0</v>
      </c>
      <c r="O649" s="8"/>
      <c r="P649" s="8">
        <v>7</v>
      </c>
    </row>
    <row r="650" spans="1:16" ht="15.75" hidden="1" customHeight="1" x14ac:dyDescent="0.2">
      <c r="A650" s="19" t="s">
        <v>452</v>
      </c>
      <c r="B650" s="19" t="s">
        <v>431</v>
      </c>
      <c r="C650" s="19" t="s">
        <v>449</v>
      </c>
      <c r="D650" s="8" t="s">
        <v>451</v>
      </c>
      <c r="E650" s="9">
        <v>194227</v>
      </c>
      <c r="F650" s="9">
        <v>1056860</v>
      </c>
      <c r="G650" s="9">
        <v>9.5496999999999996</v>
      </c>
      <c r="H650" s="9">
        <v>-83.785217000000003</v>
      </c>
      <c r="I650" s="19">
        <v>2847</v>
      </c>
      <c r="J650" s="19" t="s">
        <v>26</v>
      </c>
      <c r="K650" s="7"/>
      <c r="L650" s="7"/>
      <c r="M650" s="11">
        <f t="shared" si="24"/>
        <v>0</v>
      </c>
      <c r="N650" s="11">
        <f t="shared" si="1"/>
        <v>0</v>
      </c>
      <c r="O650" s="8"/>
      <c r="P650" s="8">
        <v>7</v>
      </c>
    </row>
    <row r="651" spans="1:16" ht="15.75" hidden="1" customHeight="1" x14ac:dyDescent="0.2">
      <c r="A651" s="19" t="s">
        <v>453</v>
      </c>
      <c r="B651" s="19" t="s">
        <v>431</v>
      </c>
      <c r="C651" s="19" t="s">
        <v>449</v>
      </c>
      <c r="D651" s="8" t="s">
        <v>451</v>
      </c>
      <c r="E651" s="9">
        <v>194227</v>
      </c>
      <c r="F651" s="9">
        <v>1056860</v>
      </c>
      <c r="G651" s="9">
        <v>9.5496999999999996</v>
      </c>
      <c r="H651" s="9">
        <v>-83.785217000000003</v>
      </c>
      <c r="I651" s="19">
        <v>2847</v>
      </c>
      <c r="J651" s="19" t="s">
        <v>26</v>
      </c>
      <c r="K651" s="10">
        <v>40359</v>
      </c>
      <c r="L651" s="10">
        <v>40407</v>
      </c>
      <c r="M651" s="11">
        <f t="shared" si="24"/>
        <v>49</v>
      </c>
      <c r="N651" s="11">
        <f t="shared" si="1"/>
        <v>49</v>
      </c>
      <c r="O651" s="8"/>
      <c r="P651" s="8">
        <v>7</v>
      </c>
    </row>
    <row r="652" spans="1:16" ht="15.75" hidden="1" customHeight="1" x14ac:dyDescent="0.2">
      <c r="A652" s="19" t="s">
        <v>443</v>
      </c>
      <c r="B652" s="19" t="s">
        <v>431</v>
      </c>
      <c r="C652" s="19" t="s">
        <v>449</v>
      </c>
      <c r="D652" s="8" t="s">
        <v>451</v>
      </c>
      <c r="E652" s="9">
        <v>194227</v>
      </c>
      <c r="F652" s="9">
        <v>1056860</v>
      </c>
      <c r="G652" s="9">
        <v>9.5496999999999996</v>
      </c>
      <c r="H652" s="9">
        <v>-83.785217000000003</v>
      </c>
      <c r="I652" s="19">
        <v>2847</v>
      </c>
      <c r="J652" s="19" t="s">
        <v>26</v>
      </c>
      <c r="K652" s="10">
        <v>40648</v>
      </c>
      <c r="L652" s="10">
        <v>40744</v>
      </c>
      <c r="M652" s="11">
        <v>61</v>
      </c>
      <c r="N652" s="11">
        <f t="shared" si="1"/>
        <v>97</v>
      </c>
      <c r="O652" s="8"/>
      <c r="P652" s="8">
        <v>7</v>
      </c>
    </row>
    <row r="653" spans="1:16" ht="15.75" hidden="1" customHeight="1" x14ac:dyDescent="0.2">
      <c r="A653" s="19" t="s">
        <v>443</v>
      </c>
      <c r="B653" s="19" t="s">
        <v>431</v>
      </c>
      <c r="C653" s="19" t="s">
        <v>449</v>
      </c>
      <c r="D653" s="8" t="s">
        <v>454</v>
      </c>
      <c r="E653" s="9"/>
      <c r="F653" s="9"/>
      <c r="G653" s="9"/>
      <c r="H653" s="9"/>
      <c r="J653" s="19" t="s">
        <v>26</v>
      </c>
      <c r="K653" s="10">
        <v>40717</v>
      </c>
      <c r="L653" s="10">
        <v>40760</v>
      </c>
      <c r="M653" s="11">
        <v>31</v>
      </c>
      <c r="N653" s="11">
        <f t="shared" si="1"/>
        <v>44</v>
      </c>
      <c r="O653" s="8"/>
      <c r="P653" s="8">
        <v>31</v>
      </c>
    </row>
    <row r="654" spans="1:16" ht="15.75" hidden="1" customHeight="1" x14ac:dyDescent="0.2">
      <c r="A654" s="19" t="s">
        <v>52</v>
      </c>
      <c r="B654" s="19" t="s">
        <v>431</v>
      </c>
      <c r="C654" s="19" t="s">
        <v>449</v>
      </c>
      <c r="D654" s="8" t="s">
        <v>455</v>
      </c>
      <c r="E654" s="9">
        <v>194932</v>
      </c>
      <c r="F654" s="9">
        <v>1057260</v>
      </c>
      <c r="G654" s="9">
        <v>9.5532299999999992</v>
      </c>
      <c r="H654" s="9">
        <v>-83.778850000000006</v>
      </c>
      <c r="I654" s="19">
        <v>3072</v>
      </c>
      <c r="J654" s="19" t="s">
        <v>26</v>
      </c>
      <c r="K654" s="10">
        <v>41079</v>
      </c>
      <c r="L654" s="10">
        <v>41128</v>
      </c>
      <c r="M654" s="11">
        <f t="shared" ref="M654:M656" si="25">IF(ISBLANK(K654),0,IF(ISBLANK(L654),0,L654-K654+1))</f>
        <v>50</v>
      </c>
      <c r="N654" s="11">
        <f t="shared" si="1"/>
        <v>50</v>
      </c>
      <c r="O654" s="8"/>
      <c r="P654" s="8">
        <v>22</v>
      </c>
    </row>
    <row r="655" spans="1:16" ht="15.75" hidden="1" customHeight="1" x14ac:dyDescent="0.2">
      <c r="A655" s="19" t="s">
        <v>193</v>
      </c>
      <c r="B655" s="19" t="s">
        <v>431</v>
      </c>
      <c r="C655" s="19" t="s">
        <v>449</v>
      </c>
      <c r="D655" s="8" t="s">
        <v>455</v>
      </c>
      <c r="E655" s="9">
        <v>194932</v>
      </c>
      <c r="F655" s="9">
        <v>1057260</v>
      </c>
      <c r="G655" s="9">
        <v>9.5532330000000005</v>
      </c>
      <c r="H655" s="9">
        <v>-83.778850000000006</v>
      </c>
      <c r="I655" s="19">
        <v>3065</v>
      </c>
      <c r="J655" s="19" t="s">
        <v>26</v>
      </c>
      <c r="K655" s="10">
        <v>41443</v>
      </c>
      <c r="L655" s="10">
        <v>41480</v>
      </c>
      <c r="M655" s="11">
        <f t="shared" si="25"/>
        <v>38</v>
      </c>
      <c r="N655" s="11">
        <f t="shared" si="1"/>
        <v>38</v>
      </c>
      <c r="O655" s="8"/>
      <c r="P655" s="8">
        <v>22</v>
      </c>
    </row>
    <row r="656" spans="1:16" ht="15.75" hidden="1" customHeight="1" x14ac:dyDescent="0.2">
      <c r="A656" s="19" t="s">
        <v>297</v>
      </c>
      <c r="B656" s="19" t="s">
        <v>431</v>
      </c>
      <c r="C656" s="19" t="s">
        <v>449</v>
      </c>
      <c r="D656" s="8" t="s">
        <v>455</v>
      </c>
      <c r="E656" s="9">
        <v>194593</v>
      </c>
      <c r="F656" s="9">
        <v>1057111</v>
      </c>
      <c r="G656" s="9">
        <v>9.5519999999999996</v>
      </c>
      <c r="H656" s="9">
        <v>-83.781899999999993</v>
      </c>
      <c r="I656" s="19">
        <v>2991</v>
      </c>
      <c r="J656" s="19" t="s">
        <v>26</v>
      </c>
      <c r="K656" s="10">
        <v>43277</v>
      </c>
      <c r="L656" s="10">
        <v>43301</v>
      </c>
      <c r="M656" s="11">
        <f t="shared" si="25"/>
        <v>25</v>
      </c>
      <c r="N656" s="11">
        <f t="shared" si="1"/>
        <v>25</v>
      </c>
      <c r="O656" s="8"/>
      <c r="P656" s="8" t="s">
        <v>455</v>
      </c>
    </row>
    <row r="657" spans="1:16" ht="15.75" hidden="1" customHeight="1" x14ac:dyDescent="0.2">
      <c r="A657" s="20" t="s">
        <v>297</v>
      </c>
      <c r="B657" s="20" t="s">
        <v>431</v>
      </c>
      <c r="C657" s="20" t="s">
        <v>449</v>
      </c>
      <c r="D657" s="21" t="s">
        <v>455</v>
      </c>
      <c r="E657" s="22">
        <v>194593</v>
      </c>
      <c r="F657" s="22">
        <v>1057111</v>
      </c>
      <c r="G657" s="22">
        <v>9.5519999999999996</v>
      </c>
      <c r="H657" s="22">
        <v>-83.781899999999993</v>
      </c>
      <c r="I657" s="20">
        <v>2991</v>
      </c>
      <c r="J657" s="20" t="s">
        <v>26</v>
      </c>
      <c r="K657" s="23"/>
      <c r="L657" s="23"/>
      <c r="M657" s="24">
        <v>0</v>
      </c>
      <c r="N657" s="11">
        <f t="shared" si="1"/>
        <v>0</v>
      </c>
      <c r="O657" s="25"/>
      <c r="P657" s="21" t="s">
        <v>455</v>
      </c>
    </row>
    <row r="658" spans="1:16" ht="15.75" hidden="1" customHeight="1" x14ac:dyDescent="0.2">
      <c r="A658" s="14" t="s">
        <v>444</v>
      </c>
      <c r="B658" s="14" t="s">
        <v>431</v>
      </c>
      <c r="C658" s="14" t="s">
        <v>449</v>
      </c>
      <c r="D658" s="15" t="s">
        <v>455</v>
      </c>
      <c r="E658" s="16">
        <v>194593</v>
      </c>
      <c r="F658" s="16">
        <v>1057111</v>
      </c>
      <c r="G658" s="16">
        <v>9.5519999999999996</v>
      </c>
      <c r="H658" s="16">
        <v>-83.781899999999993</v>
      </c>
      <c r="I658" s="14">
        <v>2991</v>
      </c>
      <c r="J658" s="14" t="s">
        <v>26</v>
      </c>
      <c r="K658" s="17">
        <v>43631</v>
      </c>
      <c r="L658" s="17">
        <v>43650</v>
      </c>
      <c r="M658" s="18">
        <f>IF(ISBLANK(K658),0,IF(ISBLANK(L658),0,L658-K658+1))</f>
        <v>20</v>
      </c>
      <c r="N658" s="11">
        <f t="shared" si="1"/>
        <v>20</v>
      </c>
      <c r="O658" s="15" t="s">
        <v>456</v>
      </c>
      <c r="P658" s="15" t="s">
        <v>455</v>
      </c>
    </row>
    <row r="659" spans="1:16" ht="15.75" hidden="1" customHeight="1" x14ac:dyDescent="0.2">
      <c r="A659" s="19" t="s">
        <v>443</v>
      </c>
      <c r="B659" s="19" t="s">
        <v>431</v>
      </c>
      <c r="C659" s="19" t="s">
        <v>449</v>
      </c>
      <c r="D659" s="8" t="s">
        <v>457</v>
      </c>
      <c r="E659" s="9"/>
      <c r="F659" s="9"/>
      <c r="G659" s="9"/>
      <c r="H659" s="9"/>
      <c r="J659" s="19" t="s">
        <v>26</v>
      </c>
      <c r="K659" s="10">
        <v>40709</v>
      </c>
      <c r="L659" s="10">
        <v>40744</v>
      </c>
      <c r="M659" s="11">
        <v>33</v>
      </c>
      <c r="N659" s="11">
        <f t="shared" si="1"/>
        <v>36</v>
      </c>
      <c r="O659" s="8"/>
      <c r="P659" s="8">
        <v>21</v>
      </c>
    </row>
    <row r="660" spans="1:16" ht="15.75" hidden="1" customHeight="1" x14ac:dyDescent="0.2">
      <c r="A660" s="19" t="s">
        <v>52</v>
      </c>
      <c r="B660" s="19" t="s">
        <v>431</v>
      </c>
      <c r="C660" s="19" t="s">
        <v>449</v>
      </c>
      <c r="D660" s="8" t="s">
        <v>457</v>
      </c>
      <c r="E660" s="9">
        <v>195163</v>
      </c>
      <c r="F660" s="9">
        <v>1057330</v>
      </c>
      <c r="G660" s="9">
        <v>9.5541</v>
      </c>
      <c r="H660" s="9">
        <v>-83.776669999999996</v>
      </c>
      <c r="I660" s="19">
        <v>3080</v>
      </c>
      <c r="J660" s="19" t="s">
        <v>26</v>
      </c>
      <c r="K660" s="10">
        <v>41079</v>
      </c>
      <c r="L660" s="10">
        <v>41128</v>
      </c>
      <c r="M660" s="11">
        <f t="shared" ref="M660:M666" si="26">IF(ISBLANK(K660),0,IF(ISBLANK(L660),0,L660-K660+1))</f>
        <v>50</v>
      </c>
      <c r="N660" s="11">
        <f t="shared" si="1"/>
        <v>50</v>
      </c>
      <c r="O660" s="8"/>
      <c r="P660" s="8">
        <v>21</v>
      </c>
    </row>
    <row r="661" spans="1:16" ht="15.75" hidden="1" customHeight="1" x14ac:dyDescent="0.2">
      <c r="A661" s="19" t="s">
        <v>193</v>
      </c>
      <c r="B661" s="19" t="s">
        <v>431</v>
      </c>
      <c r="C661" s="19" t="s">
        <v>449</v>
      </c>
      <c r="D661" s="8" t="s">
        <v>457</v>
      </c>
      <c r="E661" s="9">
        <v>195163</v>
      </c>
      <c r="F661" s="9">
        <v>1057330</v>
      </c>
      <c r="G661" s="9">
        <v>9.5541</v>
      </c>
      <c r="H661" s="9">
        <v>-83.776667000000003</v>
      </c>
      <c r="I661" s="19">
        <v>3068</v>
      </c>
      <c r="J661" s="19" t="s">
        <v>26</v>
      </c>
      <c r="K661" s="10">
        <v>41443</v>
      </c>
      <c r="L661" s="10">
        <v>41478</v>
      </c>
      <c r="M661" s="11">
        <f t="shared" si="26"/>
        <v>36</v>
      </c>
      <c r="N661" s="11">
        <f t="shared" si="1"/>
        <v>36</v>
      </c>
      <c r="O661" s="8"/>
      <c r="P661" s="8">
        <v>21</v>
      </c>
    </row>
    <row r="662" spans="1:16" ht="15.75" hidden="1" customHeight="1" x14ac:dyDescent="0.2">
      <c r="A662" s="19" t="s">
        <v>186</v>
      </c>
      <c r="B662" s="19" t="s">
        <v>431</v>
      </c>
      <c r="C662" s="19" t="s">
        <v>449</v>
      </c>
      <c r="D662" s="8" t="s">
        <v>457</v>
      </c>
      <c r="E662" s="9">
        <v>195134</v>
      </c>
      <c r="F662" s="9">
        <v>1057285</v>
      </c>
      <c r="G662" s="9">
        <v>9.5535929999999993</v>
      </c>
      <c r="H662" s="9">
        <v>-83.776955000000001</v>
      </c>
      <c r="I662" s="19">
        <v>3055</v>
      </c>
      <c r="J662" s="19" t="s">
        <v>26</v>
      </c>
      <c r="K662" s="7"/>
      <c r="L662" s="7"/>
      <c r="M662" s="11">
        <f t="shared" si="26"/>
        <v>0</v>
      </c>
      <c r="N662" s="11">
        <f t="shared" si="1"/>
        <v>0</v>
      </c>
      <c r="O662" s="8"/>
      <c r="P662" s="8">
        <v>21</v>
      </c>
    </row>
    <row r="663" spans="1:16" ht="15.75" hidden="1" customHeight="1" x14ac:dyDescent="0.2">
      <c r="A663" s="19" t="s">
        <v>297</v>
      </c>
      <c r="B663" s="19" t="s">
        <v>431</v>
      </c>
      <c r="C663" s="19" t="s">
        <v>449</v>
      </c>
      <c r="D663" s="8" t="s">
        <v>457</v>
      </c>
      <c r="E663" s="9">
        <v>195133</v>
      </c>
      <c r="F663" s="9">
        <v>1057284</v>
      </c>
      <c r="G663" s="9">
        <v>9.5535999999999994</v>
      </c>
      <c r="H663" s="9">
        <v>-83.777000000000001</v>
      </c>
      <c r="I663" s="19">
        <v>3055</v>
      </c>
      <c r="J663" s="19" t="s">
        <v>26</v>
      </c>
      <c r="K663" s="10">
        <v>43277</v>
      </c>
      <c r="L663" s="10">
        <v>43301</v>
      </c>
      <c r="M663" s="11">
        <f t="shared" si="26"/>
        <v>25</v>
      </c>
      <c r="N663" s="11">
        <f t="shared" si="1"/>
        <v>25</v>
      </c>
      <c r="O663" s="8"/>
      <c r="P663" s="8" t="s">
        <v>457</v>
      </c>
    </row>
    <row r="664" spans="1:16" ht="15.75" hidden="1" customHeight="1" x14ac:dyDescent="0.2">
      <c r="A664" s="20" t="s">
        <v>297</v>
      </c>
      <c r="B664" s="20" t="s">
        <v>431</v>
      </c>
      <c r="C664" s="20" t="s">
        <v>449</v>
      </c>
      <c r="D664" s="21" t="s">
        <v>457</v>
      </c>
      <c r="E664" s="22">
        <v>195133</v>
      </c>
      <c r="F664" s="22">
        <v>1057284</v>
      </c>
      <c r="G664" s="22">
        <v>9.5535999999999994</v>
      </c>
      <c r="H664" s="22">
        <v>-83.777000000000001</v>
      </c>
      <c r="I664" s="20">
        <v>3055</v>
      </c>
      <c r="J664" s="20" t="s">
        <v>26</v>
      </c>
      <c r="K664" s="23"/>
      <c r="L664" s="23"/>
      <c r="M664" s="24">
        <f t="shared" si="26"/>
        <v>0</v>
      </c>
      <c r="N664" s="11">
        <f t="shared" si="1"/>
        <v>0</v>
      </c>
      <c r="O664" s="25"/>
      <c r="P664" s="21" t="s">
        <v>457</v>
      </c>
    </row>
    <row r="665" spans="1:16" ht="15.75" hidden="1" customHeight="1" x14ac:dyDescent="0.2">
      <c r="A665" s="14" t="s">
        <v>444</v>
      </c>
      <c r="B665" s="14" t="s">
        <v>431</v>
      </c>
      <c r="C665" s="14" t="s">
        <v>449</v>
      </c>
      <c r="D665" s="15" t="s">
        <v>457</v>
      </c>
      <c r="E665" s="16">
        <v>195133</v>
      </c>
      <c r="F665" s="16">
        <v>1057284</v>
      </c>
      <c r="G665" s="16">
        <v>9.5535999999999994</v>
      </c>
      <c r="H665" s="16">
        <v>-83.777000000000001</v>
      </c>
      <c r="I665" s="14">
        <v>3055</v>
      </c>
      <c r="J665" s="14" t="s">
        <v>26</v>
      </c>
      <c r="K665" s="17">
        <v>43631</v>
      </c>
      <c r="L665" s="17">
        <v>43650</v>
      </c>
      <c r="M665" s="18">
        <f t="shared" si="26"/>
        <v>20</v>
      </c>
      <c r="N665" s="11">
        <f t="shared" si="1"/>
        <v>20</v>
      </c>
      <c r="O665" s="15" t="s">
        <v>458</v>
      </c>
      <c r="P665" s="15" t="s">
        <v>457</v>
      </c>
    </row>
    <row r="666" spans="1:16" ht="15.75" hidden="1" customHeight="1" x14ac:dyDescent="0.2">
      <c r="A666" s="7" t="s">
        <v>443</v>
      </c>
      <c r="B666" s="7" t="s">
        <v>431</v>
      </c>
      <c r="C666" s="7" t="s">
        <v>449</v>
      </c>
      <c r="D666" s="8" t="s">
        <v>459</v>
      </c>
      <c r="E666" s="9"/>
      <c r="F666" s="9"/>
      <c r="G666" s="9"/>
      <c r="H666" s="9"/>
      <c r="I666" s="7"/>
      <c r="J666" s="7" t="s">
        <v>26</v>
      </c>
      <c r="K666" s="10">
        <v>40709</v>
      </c>
      <c r="L666" s="10">
        <v>40744</v>
      </c>
      <c r="M666" s="11">
        <f t="shared" si="26"/>
        <v>36</v>
      </c>
      <c r="N666" s="11">
        <f t="shared" si="1"/>
        <v>36</v>
      </c>
      <c r="O666" s="8"/>
      <c r="P666" s="8">
        <v>20</v>
      </c>
    </row>
    <row r="667" spans="1:16" ht="15.75" hidden="1" customHeight="1" x14ac:dyDescent="0.2">
      <c r="A667" s="7" t="s">
        <v>443</v>
      </c>
      <c r="B667" s="7" t="s">
        <v>431</v>
      </c>
      <c r="C667" s="7" t="s">
        <v>449</v>
      </c>
      <c r="D667" s="8" t="s">
        <v>460</v>
      </c>
      <c r="E667" s="9"/>
      <c r="F667" s="9"/>
      <c r="G667" s="9"/>
      <c r="H667" s="9"/>
      <c r="I667" s="7"/>
      <c r="J667" s="7" t="s">
        <v>26</v>
      </c>
      <c r="K667" s="10">
        <v>40709</v>
      </c>
      <c r="L667" s="10">
        <v>40744</v>
      </c>
      <c r="M667" s="11">
        <v>21</v>
      </c>
      <c r="N667" s="11">
        <f t="shared" si="1"/>
        <v>36</v>
      </c>
      <c r="O667" s="8"/>
      <c r="P667" s="8">
        <v>19</v>
      </c>
    </row>
    <row r="668" spans="1:16" ht="15.75" hidden="1" customHeight="1" x14ac:dyDescent="0.2">
      <c r="A668" s="7" t="s">
        <v>452</v>
      </c>
      <c r="B668" s="7" t="s">
        <v>431</v>
      </c>
      <c r="C668" s="7" t="s">
        <v>461</v>
      </c>
      <c r="D668" s="8" t="s">
        <v>462</v>
      </c>
      <c r="E668" s="9">
        <v>193588</v>
      </c>
      <c r="F668" s="9">
        <v>1057031</v>
      </c>
      <c r="G668" s="9">
        <v>9.5511999999999997</v>
      </c>
      <c r="H668" s="9">
        <v>-83.791049999999998</v>
      </c>
      <c r="I668" s="7">
        <v>2621</v>
      </c>
      <c r="J668" s="7" t="s">
        <v>26</v>
      </c>
      <c r="K668" s="10">
        <v>40597</v>
      </c>
      <c r="L668" s="10">
        <v>40625</v>
      </c>
      <c r="M668" s="11">
        <f>IF(ISBLANK(K668),0,IF(ISBLANK(L668),0,L668-K668+1))</f>
        <v>29</v>
      </c>
      <c r="N668" s="11">
        <f t="shared" si="1"/>
        <v>29</v>
      </c>
      <c r="O668" s="8"/>
      <c r="P668" s="8">
        <v>2</v>
      </c>
    </row>
    <row r="669" spans="1:16" ht="15.75" hidden="1" customHeight="1" x14ac:dyDescent="0.2">
      <c r="A669" s="7" t="s">
        <v>443</v>
      </c>
      <c r="B669" s="7" t="s">
        <v>431</v>
      </c>
      <c r="C669" s="7" t="s">
        <v>461</v>
      </c>
      <c r="D669" s="8" t="s">
        <v>462</v>
      </c>
      <c r="E669" s="9">
        <v>193588</v>
      </c>
      <c r="F669" s="9">
        <v>1057031</v>
      </c>
      <c r="G669" s="9">
        <v>9.5511999999999997</v>
      </c>
      <c r="H669" s="9">
        <v>-83.791049999999998</v>
      </c>
      <c r="I669" s="7">
        <v>2621</v>
      </c>
      <c r="J669" s="7" t="s">
        <v>26</v>
      </c>
      <c r="K669" s="10">
        <v>40616</v>
      </c>
      <c r="L669" s="10">
        <v>40758</v>
      </c>
      <c r="M669" s="11">
        <v>44</v>
      </c>
      <c r="N669" s="11">
        <f t="shared" si="1"/>
        <v>143</v>
      </c>
      <c r="O669" s="8"/>
      <c r="P669" s="8">
        <v>2</v>
      </c>
    </row>
    <row r="670" spans="1:16" ht="15.75" hidden="1" customHeight="1" x14ac:dyDescent="0.2">
      <c r="A670" s="7" t="s">
        <v>438</v>
      </c>
      <c r="B670" s="7" t="s">
        <v>431</v>
      </c>
      <c r="C670" s="7" t="s">
        <v>461</v>
      </c>
      <c r="D670" s="8" t="s">
        <v>462</v>
      </c>
      <c r="E670" s="9">
        <v>193588</v>
      </c>
      <c r="F670" s="9">
        <v>1057031</v>
      </c>
      <c r="G670" s="9">
        <v>9.5511999999999997</v>
      </c>
      <c r="H670" s="9">
        <v>-83.791049999999998</v>
      </c>
      <c r="I670" s="7">
        <v>2621</v>
      </c>
      <c r="J670" s="7" t="s">
        <v>26</v>
      </c>
      <c r="K670" s="10">
        <v>40758</v>
      </c>
      <c r="L670" s="10">
        <v>40885</v>
      </c>
      <c r="M670" s="11">
        <f t="shared" ref="M670:M673" si="27">IF(ISBLANK(K670),0,IF(ISBLANK(L670),0,L670-K670+1))</f>
        <v>128</v>
      </c>
      <c r="N670" s="11">
        <f t="shared" si="1"/>
        <v>128</v>
      </c>
      <c r="O670" s="8" t="s">
        <v>27</v>
      </c>
      <c r="P670" s="8">
        <v>2</v>
      </c>
    </row>
    <row r="671" spans="1:16" ht="15.75" hidden="1" customHeight="1" x14ac:dyDescent="0.2">
      <c r="A671" s="7" t="s">
        <v>443</v>
      </c>
      <c r="B671" s="7" t="s">
        <v>431</v>
      </c>
      <c r="C671" s="7" t="s">
        <v>463</v>
      </c>
      <c r="D671" s="8" t="s">
        <v>464</v>
      </c>
      <c r="E671" s="9"/>
      <c r="F671" s="9"/>
      <c r="G671" s="9"/>
      <c r="H671" s="9"/>
      <c r="I671" s="7"/>
      <c r="J671" s="7" t="s">
        <v>26</v>
      </c>
      <c r="K671" s="10">
        <v>40716</v>
      </c>
      <c r="L671" s="10">
        <v>40736</v>
      </c>
      <c r="M671" s="11">
        <f t="shared" si="27"/>
        <v>21</v>
      </c>
      <c r="N671" s="11">
        <f t="shared" si="1"/>
        <v>21</v>
      </c>
      <c r="O671" s="8"/>
      <c r="P671" s="8" t="s">
        <v>465</v>
      </c>
    </row>
    <row r="672" spans="1:16" ht="15.75" hidden="1" customHeight="1" x14ac:dyDescent="0.2">
      <c r="A672" s="7" t="s">
        <v>438</v>
      </c>
      <c r="B672" s="7" t="s">
        <v>431</v>
      </c>
      <c r="C672" s="7" t="s">
        <v>466</v>
      </c>
      <c r="D672" s="8" t="s">
        <v>467</v>
      </c>
      <c r="E672" s="9">
        <v>190617</v>
      </c>
      <c r="F672" s="9">
        <v>1055675</v>
      </c>
      <c r="G672" s="9">
        <v>9.5387299999999993</v>
      </c>
      <c r="H672" s="9">
        <v>-83.817980000000006</v>
      </c>
      <c r="I672" s="7">
        <v>2104</v>
      </c>
      <c r="J672" s="7" t="s">
        <v>20</v>
      </c>
      <c r="K672" s="7"/>
      <c r="L672" s="7"/>
      <c r="M672" s="11">
        <f t="shared" si="27"/>
        <v>0</v>
      </c>
      <c r="N672" s="11">
        <f t="shared" si="1"/>
        <v>0</v>
      </c>
      <c r="O672" s="8"/>
      <c r="P672" s="8">
        <v>6</v>
      </c>
    </row>
    <row r="673" spans="1:16" ht="15.75" hidden="1" customHeight="1" x14ac:dyDescent="0.2">
      <c r="A673" s="7" t="s">
        <v>452</v>
      </c>
      <c r="B673" s="7" t="s">
        <v>431</v>
      </c>
      <c r="C673" s="7" t="s">
        <v>466</v>
      </c>
      <c r="D673" s="8" t="s">
        <v>467</v>
      </c>
      <c r="E673" s="9">
        <v>190617</v>
      </c>
      <c r="F673" s="9">
        <v>1055675</v>
      </c>
      <c r="G673" s="9">
        <v>9.5387299999999993</v>
      </c>
      <c r="H673" s="9">
        <v>-83.817980000000006</v>
      </c>
      <c r="I673" s="7">
        <v>2104</v>
      </c>
      <c r="J673" s="7" t="s">
        <v>20</v>
      </c>
      <c r="K673" s="7"/>
      <c r="L673" s="7"/>
      <c r="M673" s="11">
        <f t="shared" si="27"/>
        <v>0</v>
      </c>
      <c r="N673" s="11">
        <f t="shared" si="1"/>
        <v>0</v>
      </c>
      <c r="O673" s="8"/>
      <c r="P673" s="8">
        <v>6</v>
      </c>
    </row>
    <row r="674" spans="1:16" ht="15.75" hidden="1" customHeight="1" x14ac:dyDescent="0.2">
      <c r="A674" s="7" t="s">
        <v>443</v>
      </c>
      <c r="B674" s="7" t="s">
        <v>431</v>
      </c>
      <c r="C674" s="7" t="s">
        <v>466</v>
      </c>
      <c r="D674" s="8" t="s">
        <v>467</v>
      </c>
      <c r="E674" s="9">
        <v>190617</v>
      </c>
      <c r="F674" s="9">
        <v>1055675</v>
      </c>
      <c r="G674" s="9">
        <v>9.5387299999999993</v>
      </c>
      <c r="H674" s="9">
        <v>-83.817980000000006</v>
      </c>
      <c r="I674" s="7">
        <v>2104</v>
      </c>
      <c r="J674" s="7" t="s">
        <v>20</v>
      </c>
      <c r="K674" s="10">
        <v>40641</v>
      </c>
      <c r="L674" s="10">
        <v>40740</v>
      </c>
      <c r="M674" s="11">
        <v>39</v>
      </c>
      <c r="N674" s="11">
        <f t="shared" si="1"/>
        <v>100</v>
      </c>
      <c r="O674" s="8"/>
      <c r="P674" s="8">
        <v>6</v>
      </c>
    </row>
    <row r="675" spans="1:16" ht="15.75" hidden="1" customHeight="1" x14ac:dyDescent="0.2">
      <c r="A675" s="7" t="s">
        <v>297</v>
      </c>
      <c r="B675" s="7" t="s">
        <v>431</v>
      </c>
      <c r="C675" s="7" t="s">
        <v>468</v>
      </c>
      <c r="D675" s="8" t="s">
        <v>469</v>
      </c>
      <c r="E675" s="9">
        <v>193338</v>
      </c>
      <c r="F675" s="9">
        <v>1058129</v>
      </c>
      <c r="G675" s="9">
        <v>9.5610999999999997</v>
      </c>
      <c r="H675" s="9">
        <v>-83.793400000000005</v>
      </c>
      <c r="I675" s="7">
        <v>2704</v>
      </c>
      <c r="J675" s="7" t="s">
        <v>26</v>
      </c>
      <c r="K675" s="10">
        <v>43279</v>
      </c>
      <c r="L675" s="10">
        <v>43301</v>
      </c>
      <c r="M675" s="11">
        <f t="shared" ref="M675:M694" si="28">IF(ISBLANK(K675),0,IF(ISBLANK(L675),0,L675-K675+1))</f>
        <v>23</v>
      </c>
      <c r="N675" s="11">
        <f t="shared" si="1"/>
        <v>23</v>
      </c>
      <c r="O675" s="8"/>
      <c r="P675" s="8" t="s">
        <v>469</v>
      </c>
    </row>
    <row r="676" spans="1:16" ht="15.75" hidden="1" customHeight="1" x14ac:dyDescent="0.2">
      <c r="A676" s="20" t="s">
        <v>297</v>
      </c>
      <c r="B676" s="20" t="s">
        <v>431</v>
      </c>
      <c r="C676" s="20" t="s">
        <v>468</v>
      </c>
      <c r="D676" s="21" t="s">
        <v>469</v>
      </c>
      <c r="E676" s="22">
        <v>193338</v>
      </c>
      <c r="F676" s="22">
        <v>1058129</v>
      </c>
      <c r="G676" s="22">
        <v>9.5610999999999997</v>
      </c>
      <c r="H676" s="22">
        <v>-83.793400000000005</v>
      </c>
      <c r="I676" s="20">
        <v>2704</v>
      </c>
      <c r="J676" s="20" t="s">
        <v>26</v>
      </c>
      <c r="K676" s="23"/>
      <c r="L676" s="23"/>
      <c r="M676" s="24">
        <f t="shared" si="28"/>
        <v>0</v>
      </c>
      <c r="N676" s="11">
        <f t="shared" si="1"/>
        <v>0</v>
      </c>
      <c r="O676" s="25"/>
      <c r="P676" s="21" t="s">
        <v>469</v>
      </c>
    </row>
    <row r="677" spans="1:16" ht="15.75" hidden="1" customHeight="1" x14ac:dyDescent="0.2">
      <c r="A677" s="14" t="s">
        <v>444</v>
      </c>
      <c r="B677" s="14" t="s">
        <v>431</v>
      </c>
      <c r="C677" s="14" t="s">
        <v>468</v>
      </c>
      <c r="D677" s="15" t="s">
        <v>469</v>
      </c>
      <c r="E677" s="16">
        <v>193338</v>
      </c>
      <c r="F677" s="16">
        <v>1058129</v>
      </c>
      <c r="G677" s="16">
        <v>9.5610999999999997</v>
      </c>
      <c r="H677" s="16">
        <v>-83.793400000000005</v>
      </c>
      <c r="I677" s="14">
        <v>2704</v>
      </c>
      <c r="J677" s="14" t="s">
        <v>26</v>
      </c>
      <c r="K677" s="17">
        <v>43631</v>
      </c>
      <c r="L677" s="17">
        <v>43650</v>
      </c>
      <c r="M677" s="18">
        <f t="shared" si="28"/>
        <v>20</v>
      </c>
      <c r="N677" s="11">
        <f t="shared" si="1"/>
        <v>20</v>
      </c>
      <c r="O677" s="15" t="s">
        <v>470</v>
      </c>
      <c r="P677" s="15" t="s">
        <v>469</v>
      </c>
    </row>
    <row r="678" spans="1:16" ht="15.75" hidden="1" customHeight="1" x14ac:dyDescent="0.2">
      <c r="A678" s="7" t="s">
        <v>297</v>
      </c>
      <c r="B678" s="7" t="s">
        <v>431</v>
      </c>
      <c r="C678" s="7" t="s">
        <v>468</v>
      </c>
      <c r="D678" s="8" t="s">
        <v>471</v>
      </c>
      <c r="E678" s="9">
        <v>193896</v>
      </c>
      <c r="F678" s="9">
        <v>1057892</v>
      </c>
      <c r="G678" s="9">
        <v>9.5589999999999993</v>
      </c>
      <c r="H678" s="9">
        <v>-83.788300000000007</v>
      </c>
      <c r="I678" s="7">
        <v>2768</v>
      </c>
      <c r="J678" s="7" t="s">
        <v>26</v>
      </c>
      <c r="K678" s="10">
        <v>43279</v>
      </c>
      <c r="L678" s="10">
        <v>43301</v>
      </c>
      <c r="M678" s="11">
        <f t="shared" si="28"/>
        <v>23</v>
      </c>
      <c r="N678" s="11">
        <f t="shared" si="1"/>
        <v>23</v>
      </c>
      <c r="O678" s="8"/>
      <c r="P678" s="8" t="s">
        <v>471</v>
      </c>
    </row>
    <row r="679" spans="1:16" ht="15.75" hidden="1" customHeight="1" x14ac:dyDescent="0.2">
      <c r="A679" s="20" t="s">
        <v>297</v>
      </c>
      <c r="B679" s="20" t="s">
        <v>431</v>
      </c>
      <c r="C679" s="20" t="s">
        <v>468</v>
      </c>
      <c r="D679" s="21" t="s">
        <v>471</v>
      </c>
      <c r="E679" s="22">
        <v>193896</v>
      </c>
      <c r="F679" s="22">
        <v>1057892</v>
      </c>
      <c r="G679" s="22">
        <v>9.5589999999999993</v>
      </c>
      <c r="H679" s="22">
        <v>-83.788300000000007</v>
      </c>
      <c r="I679" s="20">
        <v>2768</v>
      </c>
      <c r="J679" s="20" t="s">
        <v>26</v>
      </c>
      <c r="K679" s="23"/>
      <c r="L679" s="23"/>
      <c r="M679" s="24">
        <f t="shared" si="28"/>
        <v>0</v>
      </c>
      <c r="N679" s="11">
        <f t="shared" si="1"/>
        <v>0</v>
      </c>
      <c r="O679" s="25"/>
      <c r="P679" s="21" t="s">
        <v>471</v>
      </c>
    </row>
    <row r="680" spans="1:16" ht="15.75" hidden="1" customHeight="1" x14ac:dyDescent="0.2">
      <c r="A680" s="14" t="s">
        <v>444</v>
      </c>
      <c r="B680" s="14" t="s">
        <v>431</v>
      </c>
      <c r="C680" s="14" t="s">
        <v>468</v>
      </c>
      <c r="D680" s="15" t="s">
        <v>471</v>
      </c>
      <c r="E680" s="16">
        <v>193896</v>
      </c>
      <c r="F680" s="16">
        <v>1057892</v>
      </c>
      <c r="G680" s="16">
        <v>9.5589999999999993</v>
      </c>
      <c r="H680" s="16">
        <v>-83.788300000000007</v>
      </c>
      <c r="I680" s="14">
        <v>2768</v>
      </c>
      <c r="J680" s="14" t="s">
        <v>26</v>
      </c>
      <c r="K680" s="17">
        <v>43631</v>
      </c>
      <c r="L680" s="17">
        <v>43650</v>
      </c>
      <c r="M680" s="18">
        <f t="shared" si="28"/>
        <v>20</v>
      </c>
      <c r="N680" s="11">
        <f t="shared" si="1"/>
        <v>20</v>
      </c>
      <c r="O680" s="15" t="s">
        <v>472</v>
      </c>
      <c r="P680" s="15" t="s">
        <v>471</v>
      </c>
    </row>
    <row r="681" spans="1:16" ht="15.75" hidden="1" customHeight="1" x14ac:dyDescent="0.2">
      <c r="A681" s="7" t="s">
        <v>297</v>
      </c>
      <c r="B681" s="7" t="s">
        <v>431</v>
      </c>
      <c r="C681" s="7" t="s">
        <v>468</v>
      </c>
      <c r="D681" s="8" t="s">
        <v>473</v>
      </c>
      <c r="E681" s="9">
        <v>194622</v>
      </c>
      <c r="F681" s="9">
        <v>1057930</v>
      </c>
      <c r="G681" s="9">
        <v>9.5594000000000001</v>
      </c>
      <c r="H681" s="9">
        <v>-83.781700000000001</v>
      </c>
      <c r="I681" s="7">
        <v>2939</v>
      </c>
      <c r="J681" s="7" t="s">
        <v>26</v>
      </c>
      <c r="K681" s="10">
        <v>43279</v>
      </c>
      <c r="L681" s="10">
        <v>43301</v>
      </c>
      <c r="M681" s="11">
        <f t="shared" si="28"/>
        <v>23</v>
      </c>
      <c r="N681" s="11">
        <f t="shared" si="1"/>
        <v>23</v>
      </c>
      <c r="O681" s="8"/>
      <c r="P681" s="8" t="s">
        <v>473</v>
      </c>
    </row>
    <row r="682" spans="1:16" ht="15.75" hidden="1" customHeight="1" x14ac:dyDescent="0.2">
      <c r="A682" s="20" t="s">
        <v>297</v>
      </c>
      <c r="B682" s="20" t="s">
        <v>431</v>
      </c>
      <c r="C682" s="20" t="s">
        <v>468</v>
      </c>
      <c r="D682" s="21" t="s">
        <v>473</v>
      </c>
      <c r="E682" s="22">
        <v>194622</v>
      </c>
      <c r="F682" s="22">
        <v>1057930</v>
      </c>
      <c r="G682" s="22">
        <v>9.5594000000000001</v>
      </c>
      <c r="H682" s="22">
        <v>-83.781700000000001</v>
      </c>
      <c r="I682" s="20">
        <v>2939</v>
      </c>
      <c r="J682" s="20" t="s">
        <v>26</v>
      </c>
      <c r="K682" s="23"/>
      <c r="L682" s="23"/>
      <c r="M682" s="24">
        <f t="shared" si="28"/>
        <v>0</v>
      </c>
      <c r="N682" s="11">
        <f t="shared" si="1"/>
        <v>0</v>
      </c>
      <c r="O682" s="25"/>
      <c r="P682" s="21" t="s">
        <v>473</v>
      </c>
    </row>
    <row r="683" spans="1:16" ht="15.75" hidden="1" customHeight="1" x14ac:dyDescent="0.2">
      <c r="A683" s="14" t="s">
        <v>444</v>
      </c>
      <c r="B683" s="14" t="s">
        <v>431</v>
      </c>
      <c r="C683" s="14" t="s">
        <v>468</v>
      </c>
      <c r="D683" s="15" t="s">
        <v>473</v>
      </c>
      <c r="E683" s="16">
        <v>194622</v>
      </c>
      <c r="F683" s="16">
        <v>1057930</v>
      </c>
      <c r="G683" s="16">
        <v>9.5594000000000001</v>
      </c>
      <c r="H683" s="16">
        <v>-83.781700000000001</v>
      </c>
      <c r="I683" s="14">
        <v>2939</v>
      </c>
      <c r="J683" s="14" t="s">
        <v>26</v>
      </c>
      <c r="K683" s="17">
        <v>43631</v>
      </c>
      <c r="L683" s="17">
        <v>43650</v>
      </c>
      <c r="M683" s="18">
        <f t="shared" si="28"/>
        <v>20</v>
      </c>
      <c r="N683" s="11">
        <f t="shared" si="1"/>
        <v>20</v>
      </c>
      <c r="O683" s="15" t="s">
        <v>474</v>
      </c>
      <c r="P683" s="15" t="s">
        <v>473</v>
      </c>
    </row>
    <row r="684" spans="1:16" ht="15.75" hidden="1" customHeight="1" x14ac:dyDescent="0.2">
      <c r="A684" s="19" t="s">
        <v>297</v>
      </c>
      <c r="B684" s="19" t="s">
        <v>431</v>
      </c>
      <c r="C684" s="19" t="s">
        <v>468</v>
      </c>
      <c r="D684" s="8" t="s">
        <v>475</v>
      </c>
      <c r="E684" s="9">
        <v>194640</v>
      </c>
      <c r="F684" s="9">
        <v>1057454</v>
      </c>
      <c r="G684" s="9">
        <v>9.5550999999999995</v>
      </c>
      <c r="H684" s="9">
        <v>-83.781499999999994</v>
      </c>
      <c r="I684" s="19">
        <v>2995</v>
      </c>
      <c r="J684" s="19" t="s">
        <v>26</v>
      </c>
      <c r="K684" s="10">
        <v>43279</v>
      </c>
      <c r="L684" s="10">
        <v>43301</v>
      </c>
      <c r="M684" s="11">
        <f t="shared" si="28"/>
        <v>23</v>
      </c>
      <c r="N684" s="11">
        <f t="shared" si="1"/>
        <v>23</v>
      </c>
      <c r="O684" s="8"/>
      <c r="P684" s="8" t="s">
        <v>475</v>
      </c>
    </row>
    <row r="685" spans="1:16" ht="15.75" hidden="1" customHeight="1" x14ac:dyDescent="0.2">
      <c r="A685" s="20" t="s">
        <v>297</v>
      </c>
      <c r="B685" s="20" t="s">
        <v>431</v>
      </c>
      <c r="C685" s="20" t="s">
        <v>468</v>
      </c>
      <c r="D685" s="21" t="s">
        <v>475</v>
      </c>
      <c r="E685" s="22">
        <v>194640</v>
      </c>
      <c r="F685" s="22">
        <v>1057454</v>
      </c>
      <c r="G685" s="22">
        <v>9.5550999999999995</v>
      </c>
      <c r="H685" s="22">
        <v>-83.781499999999994</v>
      </c>
      <c r="I685" s="20">
        <v>2995</v>
      </c>
      <c r="J685" s="20" t="s">
        <v>26</v>
      </c>
      <c r="K685" s="23"/>
      <c r="L685" s="23"/>
      <c r="M685" s="24">
        <f t="shared" si="28"/>
        <v>0</v>
      </c>
      <c r="N685" s="11">
        <f t="shared" si="1"/>
        <v>0</v>
      </c>
      <c r="O685" s="25"/>
      <c r="P685" s="21" t="s">
        <v>475</v>
      </c>
    </row>
    <row r="686" spans="1:16" ht="15.75" hidden="1" customHeight="1" x14ac:dyDescent="0.2">
      <c r="A686" s="14" t="s">
        <v>444</v>
      </c>
      <c r="B686" s="14" t="s">
        <v>431</v>
      </c>
      <c r="C686" s="14" t="s">
        <v>468</v>
      </c>
      <c r="D686" s="15" t="s">
        <v>475</v>
      </c>
      <c r="E686" s="16">
        <v>194640</v>
      </c>
      <c r="F686" s="16">
        <v>1057454</v>
      </c>
      <c r="G686" s="16">
        <v>9.5550999999999995</v>
      </c>
      <c r="H686" s="16">
        <v>-83.781499999999994</v>
      </c>
      <c r="I686" s="14">
        <v>2995</v>
      </c>
      <c r="J686" s="14" t="s">
        <v>26</v>
      </c>
      <c r="K686" s="17">
        <v>43631</v>
      </c>
      <c r="L686" s="17">
        <v>43650</v>
      </c>
      <c r="M686" s="18">
        <f t="shared" si="28"/>
        <v>20</v>
      </c>
      <c r="N686" s="11">
        <f t="shared" si="1"/>
        <v>20</v>
      </c>
      <c r="O686" s="15" t="s">
        <v>476</v>
      </c>
      <c r="P686" s="15" t="s">
        <v>475</v>
      </c>
    </row>
    <row r="687" spans="1:16" ht="15.75" hidden="1" customHeight="1" x14ac:dyDescent="0.2">
      <c r="A687" s="19" t="s">
        <v>186</v>
      </c>
      <c r="B687" s="19" t="s">
        <v>431</v>
      </c>
      <c r="C687" s="19" t="s">
        <v>468</v>
      </c>
      <c r="D687" s="8" t="s">
        <v>477</v>
      </c>
      <c r="E687" s="9">
        <v>193283</v>
      </c>
      <c r="F687" s="9">
        <v>1058074</v>
      </c>
      <c r="G687" s="9">
        <v>9.5606030000000004</v>
      </c>
      <c r="H687" s="9">
        <v>-83.793947000000003</v>
      </c>
      <c r="I687" s="19">
        <v>2706</v>
      </c>
      <c r="J687" s="19" t="s">
        <v>26</v>
      </c>
      <c r="K687" s="10">
        <v>42880</v>
      </c>
      <c r="L687" s="10">
        <v>42893</v>
      </c>
      <c r="M687" s="11">
        <f t="shared" si="28"/>
        <v>14</v>
      </c>
      <c r="N687" s="11">
        <f t="shared" si="1"/>
        <v>14</v>
      </c>
      <c r="O687" s="8"/>
      <c r="P687" s="8">
        <v>26</v>
      </c>
    </row>
    <row r="688" spans="1:16" ht="15.75" hidden="1" customHeight="1" x14ac:dyDescent="0.2">
      <c r="A688" s="19" t="s">
        <v>443</v>
      </c>
      <c r="B688" s="19" t="s">
        <v>431</v>
      </c>
      <c r="C688" s="19" t="s">
        <v>468</v>
      </c>
      <c r="D688" s="8" t="s">
        <v>478</v>
      </c>
      <c r="E688" s="9"/>
      <c r="F688" s="9"/>
      <c r="G688" s="9"/>
      <c r="H688" s="9"/>
      <c r="J688" s="19" t="s">
        <v>26</v>
      </c>
      <c r="K688" s="10">
        <v>40709</v>
      </c>
      <c r="L688" s="10">
        <v>40760</v>
      </c>
      <c r="M688" s="11">
        <f t="shared" si="28"/>
        <v>52</v>
      </c>
      <c r="N688" s="11">
        <f t="shared" si="1"/>
        <v>52</v>
      </c>
      <c r="O688" s="8"/>
      <c r="P688" s="8">
        <v>25</v>
      </c>
    </row>
    <row r="689" spans="1:27" ht="15.75" hidden="1" customHeight="1" x14ac:dyDescent="0.2">
      <c r="A689" s="19" t="s">
        <v>52</v>
      </c>
      <c r="B689" s="19" t="s">
        <v>431</v>
      </c>
      <c r="C689" s="19" t="s">
        <v>468</v>
      </c>
      <c r="D689" s="8" t="s">
        <v>478</v>
      </c>
      <c r="E689" s="9">
        <v>192961</v>
      </c>
      <c r="F689" s="9">
        <v>1058365</v>
      </c>
      <c r="G689" s="9">
        <v>9.5631299999999992</v>
      </c>
      <c r="H689" s="9">
        <v>-83.796800000000005</v>
      </c>
      <c r="I689" s="19">
        <v>2562</v>
      </c>
      <c r="J689" s="19" t="s">
        <v>26</v>
      </c>
      <c r="K689" s="10">
        <v>41079</v>
      </c>
      <c r="L689" s="10">
        <v>41128</v>
      </c>
      <c r="M689" s="11">
        <f t="shared" si="28"/>
        <v>50</v>
      </c>
      <c r="N689" s="11">
        <f t="shared" si="1"/>
        <v>50</v>
      </c>
      <c r="O689" s="8"/>
      <c r="P689" s="8">
        <v>25</v>
      </c>
    </row>
    <row r="690" spans="1:27" ht="15.75" hidden="1" customHeight="1" x14ac:dyDescent="0.2">
      <c r="A690" s="19" t="s">
        <v>193</v>
      </c>
      <c r="B690" s="19" t="s">
        <v>431</v>
      </c>
      <c r="C690" s="19" t="s">
        <v>468</v>
      </c>
      <c r="D690" s="8" t="s">
        <v>478</v>
      </c>
      <c r="E690" s="9">
        <v>192961</v>
      </c>
      <c r="F690" s="9">
        <v>1058365</v>
      </c>
      <c r="G690" s="9">
        <v>9.5591329999999992</v>
      </c>
      <c r="H690" s="9">
        <v>-83.788732999999993</v>
      </c>
      <c r="I690" s="19">
        <v>2569</v>
      </c>
      <c r="J690" s="19" t="s">
        <v>26</v>
      </c>
      <c r="K690" s="10">
        <v>41444</v>
      </c>
      <c r="L690" s="10">
        <v>41478</v>
      </c>
      <c r="M690" s="11">
        <f t="shared" si="28"/>
        <v>35</v>
      </c>
      <c r="N690" s="11">
        <f t="shared" si="1"/>
        <v>35</v>
      </c>
      <c r="O690" s="8"/>
      <c r="P690" s="8">
        <v>25</v>
      </c>
    </row>
    <row r="691" spans="1:27" ht="15.75" hidden="1" customHeight="1" x14ac:dyDescent="0.2">
      <c r="A691" s="19" t="s">
        <v>182</v>
      </c>
      <c r="B691" s="19" t="s">
        <v>431</v>
      </c>
      <c r="C691" s="19" t="s">
        <v>468</v>
      </c>
      <c r="D691" s="8" t="s">
        <v>478</v>
      </c>
      <c r="E691" s="9">
        <v>194927</v>
      </c>
      <c r="F691" s="9">
        <v>1057288</v>
      </c>
      <c r="G691" s="9">
        <v>9.5591329999999992</v>
      </c>
      <c r="H691" s="9">
        <v>-83.788732999999993</v>
      </c>
      <c r="I691" s="19">
        <v>3019</v>
      </c>
      <c r="J691" s="19" t="s">
        <v>26</v>
      </c>
      <c r="K691" s="10">
        <v>41813</v>
      </c>
      <c r="L691" s="10">
        <v>41833</v>
      </c>
      <c r="M691" s="11">
        <f t="shared" si="28"/>
        <v>21</v>
      </c>
      <c r="N691" s="11">
        <f t="shared" si="1"/>
        <v>21</v>
      </c>
      <c r="O691" s="8"/>
      <c r="P691" s="8">
        <v>25</v>
      </c>
    </row>
    <row r="692" spans="1:27" ht="15.75" hidden="1" customHeight="1" x14ac:dyDescent="0.2">
      <c r="A692" s="19" t="s">
        <v>133</v>
      </c>
      <c r="B692" s="19" t="s">
        <v>431</v>
      </c>
      <c r="C692" s="19" t="s">
        <v>468</v>
      </c>
      <c r="D692" s="8" t="s">
        <v>478</v>
      </c>
      <c r="E692" s="9">
        <v>194927</v>
      </c>
      <c r="F692" s="9">
        <v>1057288</v>
      </c>
      <c r="G692" s="9">
        <v>9.5591329999999992</v>
      </c>
      <c r="H692" s="9">
        <v>-83.788732999999993</v>
      </c>
      <c r="I692" s="19">
        <v>3019</v>
      </c>
      <c r="J692" s="19" t="s">
        <v>26</v>
      </c>
      <c r="K692" s="10">
        <v>42166</v>
      </c>
      <c r="L692" s="10">
        <v>42168</v>
      </c>
      <c r="M692" s="11">
        <f t="shared" si="28"/>
        <v>3</v>
      </c>
      <c r="N692" s="11">
        <f t="shared" si="1"/>
        <v>3</v>
      </c>
      <c r="O692" s="8"/>
      <c r="P692" s="8">
        <v>25</v>
      </c>
    </row>
    <row r="693" spans="1:27" ht="15.75" hidden="1" customHeight="1" x14ac:dyDescent="0.2">
      <c r="A693" s="19" t="s">
        <v>134</v>
      </c>
      <c r="B693" s="19" t="s">
        <v>431</v>
      </c>
      <c r="C693" s="19" t="s">
        <v>468</v>
      </c>
      <c r="D693" s="8" t="s">
        <v>478</v>
      </c>
      <c r="E693" s="9">
        <v>194927</v>
      </c>
      <c r="F693" s="9">
        <v>1057288</v>
      </c>
      <c r="G693" s="9">
        <v>9.5536159999999999</v>
      </c>
      <c r="H693" s="9">
        <v>83.778880000000001</v>
      </c>
      <c r="I693" s="19">
        <v>3019</v>
      </c>
      <c r="J693" s="19" t="s">
        <v>26</v>
      </c>
      <c r="K693" s="7"/>
      <c r="L693" s="7"/>
      <c r="M693" s="11">
        <f t="shared" si="28"/>
        <v>0</v>
      </c>
      <c r="N693" s="11">
        <f t="shared" si="1"/>
        <v>0</v>
      </c>
      <c r="O693" s="8"/>
      <c r="P693" s="8">
        <v>25</v>
      </c>
    </row>
    <row r="694" spans="1:27" ht="15.75" hidden="1" customHeight="1" x14ac:dyDescent="0.2">
      <c r="A694" s="19" t="s">
        <v>186</v>
      </c>
      <c r="B694" s="19" t="s">
        <v>431</v>
      </c>
      <c r="C694" s="19" t="s">
        <v>468</v>
      </c>
      <c r="D694" s="8" t="s">
        <v>478</v>
      </c>
      <c r="E694" s="9">
        <v>193853</v>
      </c>
      <c r="F694" s="9">
        <v>1057904</v>
      </c>
      <c r="G694" s="9">
        <v>9.5591340000000002</v>
      </c>
      <c r="H694" s="9">
        <v>-83.788726999999994</v>
      </c>
      <c r="I694" s="19">
        <v>2780</v>
      </c>
      <c r="J694" s="19" t="s">
        <v>26</v>
      </c>
      <c r="K694" s="10">
        <v>42880</v>
      </c>
      <c r="L694" s="10">
        <v>42893</v>
      </c>
      <c r="M694" s="11">
        <f t="shared" si="28"/>
        <v>14</v>
      </c>
      <c r="N694" s="11">
        <f t="shared" si="1"/>
        <v>14</v>
      </c>
      <c r="O694" s="8"/>
      <c r="P694" s="8">
        <v>25</v>
      </c>
    </row>
    <row r="695" spans="1:27" ht="15.75" hidden="1" customHeight="1" x14ac:dyDescent="0.2">
      <c r="A695" s="7" t="s">
        <v>443</v>
      </c>
      <c r="B695" s="7" t="s">
        <v>431</v>
      </c>
      <c r="C695" s="7" t="s">
        <v>468</v>
      </c>
      <c r="D695" s="8" t="s">
        <v>479</v>
      </c>
      <c r="E695" s="9"/>
      <c r="F695" s="9"/>
      <c r="G695" s="9"/>
      <c r="H695" s="9"/>
      <c r="I695" s="7"/>
      <c r="J695" s="7" t="s">
        <v>26</v>
      </c>
      <c r="K695" s="10">
        <v>40711</v>
      </c>
      <c r="L695" s="10">
        <v>40760</v>
      </c>
      <c r="M695" s="11">
        <v>45</v>
      </c>
      <c r="N695" s="11">
        <f t="shared" si="1"/>
        <v>50</v>
      </c>
      <c r="O695" s="8"/>
      <c r="P695" s="8">
        <v>24</v>
      </c>
      <c r="Q695" s="7"/>
      <c r="R695" s="7"/>
      <c r="S695" s="7"/>
      <c r="T695" s="7"/>
      <c r="U695" s="7"/>
      <c r="V695" s="7"/>
      <c r="W695" s="7"/>
      <c r="X695" s="7"/>
      <c r="Y695" s="7"/>
      <c r="Z695" s="7"/>
      <c r="AA695" s="7"/>
    </row>
    <row r="696" spans="1:27" ht="15.75" hidden="1" customHeight="1" x14ac:dyDescent="0.2">
      <c r="A696" s="7" t="s">
        <v>52</v>
      </c>
      <c r="B696" s="19" t="s">
        <v>431</v>
      </c>
      <c r="C696" s="19" t="s">
        <v>468</v>
      </c>
      <c r="D696" s="8" t="s">
        <v>479</v>
      </c>
      <c r="E696" s="9">
        <v>193875</v>
      </c>
      <c r="F696" s="9">
        <v>1057898</v>
      </c>
      <c r="G696" s="9">
        <v>9.5588999999999995</v>
      </c>
      <c r="H696" s="9">
        <v>-83.788300000000007</v>
      </c>
      <c r="I696" s="19">
        <v>2772</v>
      </c>
      <c r="J696" s="19" t="s">
        <v>26</v>
      </c>
      <c r="K696" s="10">
        <v>41079</v>
      </c>
      <c r="L696" s="10">
        <v>41128</v>
      </c>
      <c r="M696" s="11">
        <f>IF(ISBLANK(K696),0,IF(ISBLANK(L696),0,L696-K696+1))</f>
        <v>50</v>
      </c>
      <c r="N696" s="11">
        <f t="shared" si="1"/>
        <v>50</v>
      </c>
      <c r="O696" s="8"/>
      <c r="P696" s="8">
        <v>24</v>
      </c>
    </row>
    <row r="697" spans="1:27" ht="15.75" hidden="1" customHeight="1" x14ac:dyDescent="0.2">
      <c r="A697" s="7" t="s">
        <v>443</v>
      </c>
      <c r="B697" s="7" t="s">
        <v>431</v>
      </c>
      <c r="C697" s="7" t="s">
        <v>468</v>
      </c>
      <c r="D697" s="8" t="s">
        <v>480</v>
      </c>
      <c r="E697" s="9"/>
      <c r="F697" s="9"/>
      <c r="G697" s="9"/>
      <c r="H697" s="9"/>
      <c r="I697" s="7"/>
      <c r="J697" s="7" t="s">
        <v>26</v>
      </c>
      <c r="K697" s="10">
        <v>40715</v>
      </c>
      <c r="L697" s="10">
        <v>40731</v>
      </c>
      <c r="M697" s="11">
        <v>14</v>
      </c>
      <c r="N697" s="11">
        <f t="shared" si="1"/>
        <v>17</v>
      </c>
      <c r="O697" s="8"/>
      <c r="P697" s="8">
        <v>23</v>
      </c>
      <c r="Q697" s="7"/>
      <c r="R697" s="7"/>
      <c r="S697" s="7"/>
      <c r="T697" s="7"/>
      <c r="U697" s="7"/>
      <c r="V697" s="7"/>
      <c r="W697" s="7"/>
      <c r="X697" s="7"/>
      <c r="Y697" s="7"/>
      <c r="Z697" s="7"/>
      <c r="AA697" s="7"/>
    </row>
    <row r="698" spans="1:27" ht="15.75" hidden="1" customHeight="1" x14ac:dyDescent="0.2">
      <c r="A698" s="7" t="s">
        <v>52</v>
      </c>
      <c r="B698" s="7" t="s">
        <v>431</v>
      </c>
      <c r="C698" s="7" t="s">
        <v>468</v>
      </c>
      <c r="D698" s="8" t="s">
        <v>480</v>
      </c>
      <c r="E698" s="9">
        <v>194689</v>
      </c>
      <c r="F698" s="9">
        <v>1057738</v>
      </c>
      <c r="G698" s="9">
        <v>9.5576699999999999</v>
      </c>
      <c r="H698" s="9">
        <v>-83.781080000000003</v>
      </c>
      <c r="I698" s="7">
        <v>2973</v>
      </c>
      <c r="J698" s="7" t="s">
        <v>26</v>
      </c>
      <c r="K698" s="10">
        <v>41079</v>
      </c>
      <c r="L698" s="10">
        <v>41128</v>
      </c>
      <c r="M698" s="11">
        <f t="shared" ref="M698:M703" si="29">IF(ISBLANK(K698),0,IF(ISBLANK(L698),0,L698-K698+1))</f>
        <v>50</v>
      </c>
      <c r="N698" s="11">
        <f t="shared" si="1"/>
        <v>50</v>
      </c>
      <c r="O698" s="8"/>
      <c r="P698" s="8">
        <v>23</v>
      </c>
      <c r="Q698" s="7"/>
      <c r="R698" s="7"/>
      <c r="S698" s="7"/>
      <c r="T698" s="7"/>
      <c r="U698" s="7"/>
      <c r="V698" s="7"/>
      <c r="W698" s="7"/>
      <c r="X698" s="7"/>
      <c r="Y698" s="7"/>
      <c r="Z698" s="7"/>
      <c r="AA698" s="7"/>
    </row>
    <row r="699" spans="1:27" ht="15.75" hidden="1" customHeight="1" x14ac:dyDescent="0.2">
      <c r="A699" s="7" t="s">
        <v>193</v>
      </c>
      <c r="B699" s="7" t="s">
        <v>431</v>
      </c>
      <c r="C699" s="7" t="s">
        <v>468</v>
      </c>
      <c r="D699" s="8" t="s">
        <v>480</v>
      </c>
      <c r="E699" s="9">
        <v>194932</v>
      </c>
      <c r="F699" s="9">
        <v>1047738</v>
      </c>
      <c r="G699" s="9">
        <v>9.5594000000000001</v>
      </c>
      <c r="H699" s="9">
        <v>-83.787216999999998</v>
      </c>
      <c r="I699" s="7">
        <v>2973</v>
      </c>
      <c r="J699" s="7" t="s">
        <v>26</v>
      </c>
      <c r="K699" s="10">
        <v>41454</v>
      </c>
      <c r="L699" s="10">
        <v>41480</v>
      </c>
      <c r="M699" s="11">
        <f t="shared" si="29"/>
        <v>27</v>
      </c>
      <c r="N699" s="11">
        <f t="shared" si="1"/>
        <v>27</v>
      </c>
      <c r="O699" s="8"/>
      <c r="P699" s="8">
        <v>23</v>
      </c>
      <c r="Q699" s="7"/>
      <c r="R699" s="7"/>
      <c r="S699" s="7"/>
      <c r="T699" s="7"/>
      <c r="U699" s="7"/>
      <c r="V699" s="7"/>
      <c r="W699" s="7"/>
      <c r="X699" s="7"/>
      <c r="Y699" s="7"/>
      <c r="Z699" s="7"/>
      <c r="AA699" s="7"/>
    </row>
    <row r="700" spans="1:27" ht="15.75" hidden="1" customHeight="1" x14ac:dyDescent="0.2">
      <c r="A700" s="7" t="s">
        <v>182</v>
      </c>
      <c r="B700" s="7" t="s">
        <v>431</v>
      </c>
      <c r="C700" s="7" t="s">
        <v>468</v>
      </c>
      <c r="D700" s="8" t="s">
        <v>480</v>
      </c>
      <c r="E700" s="9">
        <v>193904</v>
      </c>
      <c r="F700" s="9">
        <v>1057885</v>
      </c>
      <c r="G700" s="9">
        <v>9.5594000000000001</v>
      </c>
      <c r="H700" s="9">
        <v>-83.787216999999998</v>
      </c>
      <c r="I700" s="7">
        <v>2764</v>
      </c>
      <c r="J700" s="7" t="s">
        <v>26</v>
      </c>
      <c r="K700" s="10">
        <v>41816</v>
      </c>
      <c r="L700" s="10">
        <v>41846</v>
      </c>
      <c r="M700" s="11">
        <f t="shared" si="29"/>
        <v>31</v>
      </c>
      <c r="N700" s="11">
        <f t="shared" si="1"/>
        <v>31</v>
      </c>
      <c r="O700" s="8"/>
      <c r="P700" s="8">
        <v>23</v>
      </c>
      <c r="Q700" s="7"/>
      <c r="R700" s="7"/>
      <c r="S700" s="7"/>
      <c r="T700" s="7"/>
      <c r="U700" s="7"/>
      <c r="V700" s="7"/>
      <c r="W700" s="7"/>
      <c r="X700" s="7"/>
      <c r="Y700" s="7"/>
      <c r="Z700" s="7"/>
      <c r="AA700" s="7"/>
    </row>
    <row r="701" spans="1:27" ht="15.75" hidden="1" customHeight="1" x14ac:dyDescent="0.2">
      <c r="A701" s="7" t="s">
        <v>133</v>
      </c>
      <c r="B701" s="7" t="s">
        <v>431</v>
      </c>
      <c r="C701" s="7" t="s">
        <v>468</v>
      </c>
      <c r="D701" s="8" t="s">
        <v>480</v>
      </c>
      <c r="E701" s="9">
        <v>193904</v>
      </c>
      <c r="F701" s="9">
        <v>1057885</v>
      </c>
      <c r="G701" s="9">
        <v>9.5594000000000001</v>
      </c>
      <c r="H701" s="9">
        <v>-83.787216999999998</v>
      </c>
      <c r="I701" s="7">
        <v>2764</v>
      </c>
      <c r="J701" s="7" t="s">
        <v>26</v>
      </c>
      <c r="K701" s="10">
        <v>42162</v>
      </c>
      <c r="L701" s="10">
        <v>42173</v>
      </c>
      <c r="M701" s="11">
        <f t="shared" si="29"/>
        <v>12</v>
      </c>
      <c r="N701" s="11">
        <f t="shared" si="1"/>
        <v>12</v>
      </c>
      <c r="O701" s="8"/>
      <c r="P701" s="8">
        <v>23</v>
      </c>
      <c r="Q701" s="7"/>
      <c r="R701" s="7"/>
      <c r="S701" s="7"/>
      <c r="T701" s="7"/>
      <c r="U701" s="7"/>
      <c r="V701" s="7"/>
      <c r="W701" s="7"/>
      <c r="X701" s="7"/>
      <c r="Y701" s="7"/>
      <c r="Z701" s="7"/>
      <c r="AA701" s="7"/>
    </row>
    <row r="702" spans="1:27" ht="15.75" hidden="1" customHeight="1" x14ac:dyDescent="0.2">
      <c r="A702" s="7" t="s">
        <v>134</v>
      </c>
      <c r="B702" s="7" t="s">
        <v>431</v>
      </c>
      <c r="C702" s="7" t="s">
        <v>468</v>
      </c>
      <c r="D702" s="8" t="s">
        <v>480</v>
      </c>
      <c r="E702" s="9">
        <v>193904</v>
      </c>
      <c r="F702" s="9">
        <v>1057885</v>
      </c>
      <c r="G702" s="9">
        <v>9.558935</v>
      </c>
      <c r="H702" s="9">
        <v>-83.788234000000003</v>
      </c>
      <c r="I702" s="7">
        <v>2764</v>
      </c>
      <c r="J702" s="7" t="s">
        <v>26</v>
      </c>
      <c r="K702" s="7"/>
      <c r="L702" s="7"/>
      <c r="M702" s="11">
        <f t="shared" si="29"/>
        <v>0</v>
      </c>
      <c r="N702" s="11">
        <f t="shared" si="1"/>
        <v>0</v>
      </c>
      <c r="O702" s="8"/>
      <c r="P702" s="8">
        <v>23</v>
      </c>
      <c r="Q702" s="7"/>
      <c r="R702" s="7"/>
      <c r="S702" s="7"/>
      <c r="T702" s="7"/>
      <c r="U702" s="7"/>
      <c r="V702" s="7"/>
      <c r="W702" s="7"/>
      <c r="X702" s="7"/>
      <c r="Y702" s="7"/>
      <c r="Z702" s="7"/>
      <c r="AA702" s="7"/>
    </row>
    <row r="703" spans="1:27" ht="15.75" hidden="1" customHeight="1" x14ac:dyDescent="0.2">
      <c r="A703" s="7" t="s">
        <v>186</v>
      </c>
      <c r="B703" s="7" t="s">
        <v>431</v>
      </c>
      <c r="C703" s="7" t="s">
        <v>468</v>
      </c>
      <c r="D703" s="8" t="s">
        <v>480</v>
      </c>
      <c r="E703" s="9">
        <v>194018</v>
      </c>
      <c r="F703" s="9">
        <v>1057936</v>
      </c>
      <c r="G703" s="9">
        <v>9.5594070000000002</v>
      </c>
      <c r="H703" s="9">
        <v>-83.787209000000004</v>
      </c>
      <c r="I703" s="7">
        <v>2797</v>
      </c>
      <c r="J703" s="7" t="s">
        <v>26</v>
      </c>
      <c r="K703" s="10">
        <v>42866</v>
      </c>
      <c r="L703" s="10">
        <v>42893</v>
      </c>
      <c r="M703" s="11">
        <f t="shared" si="29"/>
        <v>28</v>
      </c>
      <c r="N703" s="11">
        <f t="shared" si="1"/>
        <v>28</v>
      </c>
      <c r="O703" s="8"/>
      <c r="P703" s="8">
        <v>23</v>
      </c>
      <c r="Q703" s="7"/>
      <c r="R703" s="7"/>
      <c r="S703" s="7"/>
      <c r="T703" s="7"/>
      <c r="U703" s="7"/>
      <c r="V703" s="7"/>
      <c r="W703" s="7"/>
      <c r="X703" s="7"/>
      <c r="Y703" s="7"/>
      <c r="Z703" s="7"/>
      <c r="AA703" s="7"/>
    </row>
    <row r="704" spans="1:27" ht="15.75" hidden="1" customHeight="1" x14ac:dyDescent="0.2">
      <c r="A704" s="7" t="s">
        <v>443</v>
      </c>
      <c r="B704" s="7" t="s">
        <v>431</v>
      </c>
      <c r="C704" s="7" t="s">
        <v>468</v>
      </c>
      <c r="D704" s="8" t="s">
        <v>481</v>
      </c>
      <c r="E704" s="9"/>
      <c r="F704" s="9"/>
      <c r="G704" s="9"/>
      <c r="H704" s="9"/>
      <c r="I704" s="7"/>
      <c r="J704" s="7" t="s">
        <v>26</v>
      </c>
      <c r="K704" s="10">
        <v>40717</v>
      </c>
      <c r="L704" s="10">
        <v>40760</v>
      </c>
      <c r="M704" s="11">
        <v>26</v>
      </c>
      <c r="N704" s="11">
        <f t="shared" si="1"/>
        <v>44</v>
      </c>
      <c r="O704" s="8"/>
      <c r="P704" s="8">
        <v>22</v>
      </c>
      <c r="Q704" s="7"/>
      <c r="R704" s="7"/>
      <c r="S704" s="7"/>
      <c r="T704" s="7"/>
      <c r="U704" s="7"/>
      <c r="V704" s="7"/>
      <c r="W704" s="7"/>
      <c r="X704" s="7"/>
      <c r="Y704" s="7"/>
      <c r="Z704" s="7"/>
      <c r="AA704" s="7"/>
    </row>
    <row r="705" spans="1:27" ht="15.75" hidden="1" customHeight="1" x14ac:dyDescent="0.2">
      <c r="A705" s="7" t="s">
        <v>182</v>
      </c>
      <c r="B705" s="7" t="s">
        <v>431</v>
      </c>
      <c r="C705" s="7" t="s">
        <v>468</v>
      </c>
      <c r="D705" s="8" t="s">
        <v>481</v>
      </c>
      <c r="E705" s="9">
        <v>194624</v>
      </c>
      <c r="F705" s="9">
        <v>1057936</v>
      </c>
      <c r="G705" s="9">
        <v>9.5582829999999994</v>
      </c>
      <c r="H705" s="9">
        <v>-83.780967000000004</v>
      </c>
      <c r="I705" s="7">
        <v>2875</v>
      </c>
      <c r="J705" s="7" t="s">
        <v>26</v>
      </c>
      <c r="K705" s="10">
        <v>41831</v>
      </c>
      <c r="L705" s="10">
        <v>41845</v>
      </c>
      <c r="M705" s="11">
        <f t="shared" ref="M705:M718" si="30">IF(ISBLANK(K705),0,IF(ISBLANK(L705),0,L705-K705+1))</f>
        <v>15</v>
      </c>
      <c r="N705" s="11">
        <f t="shared" si="1"/>
        <v>15</v>
      </c>
      <c r="O705" s="8"/>
      <c r="P705" s="8">
        <v>22</v>
      </c>
      <c r="Q705" s="7"/>
      <c r="R705" s="7"/>
      <c r="S705" s="7"/>
      <c r="T705" s="7"/>
      <c r="U705" s="7"/>
      <c r="V705" s="7"/>
      <c r="W705" s="7"/>
      <c r="X705" s="7"/>
      <c r="Y705" s="7"/>
      <c r="Z705" s="7"/>
      <c r="AA705" s="7"/>
    </row>
    <row r="706" spans="1:27" ht="15.75" hidden="1" customHeight="1" x14ac:dyDescent="0.2">
      <c r="A706" s="7" t="s">
        <v>133</v>
      </c>
      <c r="B706" s="7" t="s">
        <v>431</v>
      </c>
      <c r="C706" s="7" t="s">
        <v>468</v>
      </c>
      <c r="D706" s="8" t="s">
        <v>481</v>
      </c>
      <c r="E706" s="9">
        <v>194624</v>
      </c>
      <c r="F706" s="9">
        <v>1057936</v>
      </c>
      <c r="G706" s="9">
        <v>9.5582829999999994</v>
      </c>
      <c r="H706" s="9">
        <v>-83.780967000000004</v>
      </c>
      <c r="I706" s="7">
        <v>2875</v>
      </c>
      <c r="J706" s="7" t="s">
        <v>26</v>
      </c>
      <c r="K706" s="10">
        <v>42163</v>
      </c>
      <c r="L706" s="10">
        <v>42163</v>
      </c>
      <c r="M706" s="11">
        <f t="shared" si="30"/>
        <v>1</v>
      </c>
      <c r="N706" s="11">
        <f t="shared" si="1"/>
        <v>1</v>
      </c>
      <c r="O706" s="8"/>
      <c r="P706" s="8">
        <v>22</v>
      </c>
      <c r="Q706" s="7"/>
      <c r="R706" s="7"/>
      <c r="S706" s="7"/>
      <c r="T706" s="7"/>
      <c r="U706" s="7"/>
      <c r="V706" s="7"/>
      <c r="W706" s="7"/>
      <c r="X706" s="7"/>
      <c r="Y706" s="7"/>
      <c r="Z706" s="7"/>
      <c r="AA706" s="7"/>
    </row>
    <row r="707" spans="1:27" ht="15.75" hidden="1" customHeight="1" x14ac:dyDescent="0.2">
      <c r="A707" s="7" t="s">
        <v>134</v>
      </c>
      <c r="B707" s="7" t="s">
        <v>431</v>
      </c>
      <c r="C707" s="7" t="s">
        <v>468</v>
      </c>
      <c r="D707" s="8" t="s">
        <v>481</v>
      </c>
      <c r="E707" s="9">
        <v>194624</v>
      </c>
      <c r="F707" s="9">
        <v>1057936</v>
      </c>
      <c r="G707" s="9">
        <v>9.5594479999999997</v>
      </c>
      <c r="H707" s="9">
        <v>-83.781684999999996</v>
      </c>
      <c r="I707" s="7">
        <v>2875</v>
      </c>
      <c r="J707" s="7" t="s">
        <v>26</v>
      </c>
      <c r="K707" s="7"/>
      <c r="L707" s="7"/>
      <c r="M707" s="11">
        <f t="shared" si="30"/>
        <v>0</v>
      </c>
      <c r="N707" s="11">
        <f t="shared" si="1"/>
        <v>0</v>
      </c>
      <c r="O707" s="8"/>
      <c r="P707" s="8">
        <v>22</v>
      </c>
      <c r="Q707" s="7"/>
      <c r="R707" s="7"/>
      <c r="S707" s="7"/>
      <c r="T707" s="7"/>
      <c r="U707" s="7"/>
      <c r="V707" s="7"/>
      <c r="W707" s="7"/>
      <c r="X707" s="7"/>
      <c r="Y707" s="7"/>
      <c r="Z707" s="7"/>
      <c r="AA707" s="7"/>
    </row>
    <row r="708" spans="1:27" ht="15.75" hidden="1" customHeight="1" x14ac:dyDescent="0.2">
      <c r="A708" s="7" t="s">
        <v>186</v>
      </c>
      <c r="B708" s="7" t="s">
        <v>431</v>
      </c>
      <c r="C708" s="7" t="s">
        <v>468</v>
      </c>
      <c r="D708" s="8" t="s">
        <v>481</v>
      </c>
      <c r="E708" s="9">
        <v>194698</v>
      </c>
      <c r="F708" s="9">
        <v>1057808</v>
      </c>
      <c r="G708" s="9">
        <v>9.5582799999999999</v>
      </c>
      <c r="H708" s="9">
        <v>-83.780968999999999</v>
      </c>
      <c r="I708" s="7">
        <v>2968</v>
      </c>
      <c r="J708" s="7" t="s">
        <v>26</v>
      </c>
      <c r="K708" s="10">
        <v>42880</v>
      </c>
      <c r="L708" s="10">
        <v>42893</v>
      </c>
      <c r="M708" s="11">
        <f t="shared" si="30"/>
        <v>14</v>
      </c>
      <c r="N708" s="11">
        <f t="shared" si="1"/>
        <v>14</v>
      </c>
      <c r="O708" s="8"/>
      <c r="P708" s="8">
        <v>22</v>
      </c>
      <c r="Q708" s="7"/>
      <c r="R708" s="7"/>
      <c r="S708" s="7"/>
      <c r="T708" s="7"/>
      <c r="U708" s="7"/>
      <c r="V708" s="7"/>
      <c r="W708" s="7"/>
      <c r="X708" s="7"/>
      <c r="Y708" s="7"/>
      <c r="Z708" s="7"/>
      <c r="AA708" s="7"/>
    </row>
    <row r="709" spans="1:27" ht="15.75" hidden="1" customHeight="1" x14ac:dyDescent="0.2">
      <c r="A709" s="7" t="s">
        <v>40</v>
      </c>
      <c r="B709" s="7" t="s">
        <v>431</v>
      </c>
      <c r="C709" s="7" t="s">
        <v>482</v>
      </c>
      <c r="D709" s="8" t="s">
        <v>483</v>
      </c>
      <c r="E709" s="9">
        <v>191713</v>
      </c>
      <c r="F709" s="9">
        <v>1057137</v>
      </c>
      <c r="G709" s="9">
        <v>9.5520169999999993</v>
      </c>
      <c r="H709" s="9">
        <v>-83.808116999999996</v>
      </c>
      <c r="I709" s="7">
        <v>2193</v>
      </c>
      <c r="J709" s="7" t="s">
        <v>26</v>
      </c>
      <c r="K709" s="10">
        <v>41333</v>
      </c>
      <c r="L709" s="10">
        <v>41354</v>
      </c>
      <c r="M709" s="11">
        <f t="shared" si="30"/>
        <v>22</v>
      </c>
      <c r="N709" s="11">
        <f t="shared" si="1"/>
        <v>22</v>
      </c>
      <c r="O709" s="8"/>
      <c r="P709" s="8">
        <v>33</v>
      </c>
      <c r="Q709" s="7"/>
      <c r="R709" s="7"/>
      <c r="S709" s="7"/>
      <c r="T709" s="7"/>
      <c r="U709" s="7"/>
      <c r="V709" s="7"/>
      <c r="W709" s="7"/>
      <c r="X709" s="7"/>
      <c r="Y709" s="7"/>
      <c r="Z709" s="7"/>
      <c r="AA709" s="7"/>
    </row>
    <row r="710" spans="1:27" ht="15.75" hidden="1" customHeight="1" x14ac:dyDescent="0.2">
      <c r="A710" s="7" t="s">
        <v>40</v>
      </c>
      <c r="B710" s="7" t="s">
        <v>431</v>
      </c>
      <c r="C710" s="7" t="s">
        <v>482</v>
      </c>
      <c r="D710" s="8" t="s">
        <v>484</v>
      </c>
      <c r="E710" s="9">
        <v>191512</v>
      </c>
      <c r="F710" s="9">
        <v>1057135</v>
      </c>
      <c r="G710" s="9">
        <v>9.5519829999999999</v>
      </c>
      <c r="H710" s="9">
        <v>-83.809950000000001</v>
      </c>
      <c r="I710" s="7">
        <v>2266</v>
      </c>
      <c r="J710" s="7" t="s">
        <v>26</v>
      </c>
      <c r="K710" s="10">
        <v>41311</v>
      </c>
      <c r="L710" s="10">
        <v>41367</v>
      </c>
      <c r="M710" s="11">
        <f t="shared" si="30"/>
        <v>57</v>
      </c>
      <c r="N710" s="11">
        <f t="shared" si="1"/>
        <v>57</v>
      </c>
      <c r="O710" s="8"/>
      <c r="P710" s="8">
        <v>32</v>
      </c>
      <c r="Q710" s="7"/>
      <c r="R710" s="7"/>
      <c r="S710" s="7"/>
      <c r="T710" s="7"/>
      <c r="U710" s="7"/>
      <c r="V710" s="7"/>
      <c r="W710" s="7"/>
      <c r="X710" s="7"/>
      <c r="Y710" s="7"/>
      <c r="Z710" s="7"/>
      <c r="AA710" s="7"/>
    </row>
    <row r="711" spans="1:27" ht="15.75" hidden="1" customHeight="1" x14ac:dyDescent="0.2">
      <c r="A711" s="7" t="s">
        <v>40</v>
      </c>
      <c r="B711" s="7" t="s">
        <v>431</v>
      </c>
      <c r="C711" s="7" t="s">
        <v>482</v>
      </c>
      <c r="D711" s="7" t="s">
        <v>485</v>
      </c>
      <c r="E711" s="7">
        <v>191793</v>
      </c>
      <c r="F711" s="7">
        <v>1057051</v>
      </c>
      <c r="G711" s="7">
        <v>9.5512499999999996</v>
      </c>
      <c r="H711" s="7">
        <v>-83.807383000000002</v>
      </c>
      <c r="I711" s="7">
        <v>2197</v>
      </c>
      <c r="J711" s="7" t="s">
        <v>26</v>
      </c>
      <c r="K711" s="10">
        <v>41310</v>
      </c>
      <c r="L711" s="10">
        <v>41368</v>
      </c>
      <c r="M711" s="11">
        <f t="shared" si="30"/>
        <v>59</v>
      </c>
      <c r="N711" s="11">
        <f t="shared" si="1"/>
        <v>59</v>
      </c>
      <c r="O711" s="8" t="s">
        <v>62</v>
      </c>
      <c r="P711" s="7"/>
    </row>
    <row r="712" spans="1:27" ht="15.75" hidden="1" customHeight="1" x14ac:dyDescent="0.2">
      <c r="A712" s="19" t="s">
        <v>40</v>
      </c>
      <c r="B712" s="19" t="s">
        <v>431</v>
      </c>
      <c r="C712" s="19" t="s">
        <v>482</v>
      </c>
      <c r="D712" s="8" t="s">
        <v>486</v>
      </c>
      <c r="E712" s="9">
        <v>191793</v>
      </c>
      <c r="F712" s="9">
        <v>1057051</v>
      </c>
      <c r="G712" s="9">
        <v>9.5512499999999996</v>
      </c>
      <c r="H712" s="9">
        <v>-83.807383000000002</v>
      </c>
      <c r="I712" s="19">
        <v>2197</v>
      </c>
      <c r="J712" s="19" t="s">
        <v>26</v>
      </c>
      <c r="K712" s="10">
        <v>41338</v>
      </c>
      <c r="L712" s="10">
        <v>41350</v>
      </c>
      <c r="M712" s="11">
        <f t="shared" si="30"/>
        <v>13</v>
      </c>
      <c r="N712" s="11">
        <f t="shared" si="1"/>
        <v>13</v>
      </c>
      <c r="O712" s="8"/>
      <c r="P712" s="8">
        <v>28</v>
      </c>
    </row>
    <row r="713" spans="1:27" ht="15.75" hidden="1" customHeight="1" x14ac:dyDescent="0.2">
      <c r="A713" s="19" t="s">
        <v>40</v>
      </c>
      <c r="B713" s="19" t="s">
        <v>431</v>
      </c>
      <c r="C713" s="19" t="s">
        <v>482</v>
      </c>
      <c r="D713" s="8" t="s">
        <v>487</v>
      </c>
      <c r="E713" s="9">
        <v>191512</v>
      </c>
      <c r="F713" s="9">
        <v>1057135</v>
      </c>
      <c r="G713" s="9">
        <v>9.5519829999999999</v>
      </c>
      <c r="H713" s="9">
        <v>-83.809950000000001</v>
      </c>
      <c r="I713" s="19">
        <v>2266</v>
      </c>
      <c r="J713" s="19" t="s">
        <v>26</v>
      </c>
      <c r="K713" s="10">
        <v>41287</v>
      </c>
      <c r="L713" s="10">
        <v>41367</v>
      </c>
      <c r="M713" s="11">
        <f t="shared" si="30"/>
        <v>81</v>
      </c>
      <c r="N713" s="11">
        <f t="shared" si="1"/>
        <v>81</v>
      </c>
      <c r="O713" s="8"/>
      <c r="P713" s="8">
        <v>23</v>
      </c>
    </row>
    <row r="714" spans="1:27" ht="15.75" hidden="1" customHeight="1" x14ac:dyDescent="0.2">
      <c r="A714" s="7" t="s">
        <v>40</v>
      </c>
      <c r="B714" s="7" t="s">
        <v>431</v>
      </c>
      <c r="C714" s="7" t="s">
        <v>482</v>
      </c>
      <c r="D714" s="7" t="s">
        <v>488</v>
      </c>
      <c r="E714" s="7">
        <v>190772</v>
      </c>
      <c r="F714" s="7">
        <v>1057154</v>
      </c>
      <c r="G714" s="7">
        <v>9.5520999999999994</v>
      </c>
      <c r="H714" s="7">
        <v>-83.816682999999998</v>
      </c>
      <c r="I714" s="7">
        <v>2388</v>
      </c>
      <c r="J714" s="7" t="s">
        <v>26</v>
      </c>
      <c r="K714" s="10">
        <v>41287</v>
      </c>
      <c r="L714" s="10">
        <v>41480</v>
      </c>
      <c r="M714" s="11">
        <f t="shared" si="30"/>
        <v>194</v>
      </c>
      <c r="N714" s="11">
        <f t="shared" si="1"/>
        <v>194</v>
      </c>
      <c r="O714" s="8" t="s">
        <v>62</v>
      </c>
      <c r="P714" s="7"/>
    </row>
    <row r="715" spans="1:27" ht="15.75" hidden="1" customHeight="1" x14ac:dyDescent="0.2">
      <c r="A715" s="19" t="s">
        <v>40</v>
      </c>
      <c r="B715" s="19" t="s">
        <v>431</v>
      </c>
      <c r="C715" s="19" t="s">
        <v>482</v>
      </c>
      <c r="D715" s="8" t="s">
        <v>489</v>
      </c>
      <c r="E715" s="9">
        <v>191819</v>
      </c>
      <c r="F715" s="9">
        <v>1057103</v>
      </c>
      <c r="G715" s="9">
        <v>9.551717</v>
      </c>
      <c r="H715" s="9">
        <v>-83.807149999999993</v>
      </c>
      <c r="I715" s="19">
        <v>2201</v>
      </c>
      <c r="J715" s="19" t="s">
        <v>26</v>
      </c>
      <c r="K715" s="10">
        <v>41305</v>
      </c>
      <c r="L715" s="10">
        <v>41477</v>
      </c>
      <c r="M715" s="11">
        <f t="shared" si="30"/>
        <v>173</v>
      </c>
      <c r="N715" s="11">
        <f t="shared" si="1"/>
        <v>173</v>
      </c>
      <c r="O715" s="8"/>
      <c r="P715" s="8">
        <v>20</v>
      </c>
    </row>
    <row r="716" spans="1:27" ht="15.75" hidden="1" customHeight="1" x14ac:dyDescent="0.2">
      <c r="A716" s="19" t="s">
        <v>40</v>
      </c>
      <c r="B716" s="19" t="s">
        <v>431</v>
      </c>
      <c r="C716" s="19" t="s">
        <v>482</v>
      </c>
      <c r="D716" s="8" t="s">
        <v>490</v>
      </c>
      <c r="E716" s="9">
        <v>191819</v>
      </c>
      <c r="F716" s="9">
        <v>1057103</v>
      </c>
      <c r="G716" s="9">
        <v>9.551717</v>
      </c>
      <c r="H716" s="9">
        <v>-83.807149999999993</v>
      </c>
      <c r="I716" s="19">
        <v>2201</v>
      </c>
      <c r="J716" s="19" t="s">
        <v>26</v>
      </c>
      <c r="K716" s="10">
        <v>41287</v>
      </c>
      <c r="L716" s="10">
        <v>41362</v>
      </c>
      <c r="M716" s="11">
        <f t="shared" si="30"/>
        <v>76</v>
      </c>
      <c r="N716" s="11">
        <f t="shared" si="1"/>
        <v>76</v>
      </c>
      <c r="O716" s="8"/>
      <c r="P716" s="8">
        <v>17</v>
      </c>
    </row>
    <row r="717" spans="1:27" ht="15.75" hidden="1" customHeight="1" x14ac:dyDescent="0.2">
      <c r="A717" s="19" t="s">
        <v>42</v>
      </c>
      <c r="B717" s="19" t="s">
        <v>431</v>
      </c>
      <c r="C717" s="19" t="s">
        <v>491</v>
      </c>
      <c r="D717" s="8" t="s">
        <v>492</v>
      </c>
      <c r="E717" s="9">
        <v>192421</v>
      </c>
      <c r="F717" s="9">
        <v>1060843</v>
      </c>
      <c r="G717" s="9">
        <v>9.5855499999999996</v>
      </c>
      <c r="H717" s="9">
        <v>-83.801950000000005</v>
      </c>
      <c r="I717" s="19">
        <v>2550</v>
      </c>
      <c r="J717" s="19" t="s">
        <v>26</v>
      </c>
      <c r="K717" s="10">
        <v>41653</v>
      </c>
      <c r="L717" s="10">
        <v>41811</v>
      </c>
      <c r="M717" s="11">
        <f t="shared" si="30"/>
        <v>159</v>
      </c>
      <c r="N717" s="11">
        <f t="shared" si="1"/>
        <v>159</v>
      </c>
      <c r="O717" s="8"/>
      <c r="P717" s="8">
        <v>29</v>
      </c>
    </row>
    <row r="718" spans="1:27" ht="15.75" hidden="1" customHeight="1" x14ac:dyDescent="0.2">
      <c r="A718" s="19" t="s">
        <v>42</v>
      </c>
      <c r="B718" s="19" t="s">
        <v>431</v>
      </c>
      <c r="C718" s="19" t="s">
        <v>491</v>
      </c>
      <c r="D718" s="8" t="s">
        <v>493</v>
      </c>
      <c r="E718" s="9">
        <v>192513</v>
      </c>
      <c r="F718" s="9">
        <v>1060935</v>
      </c>
      <c r="G718" s="9">
        <v>9.5863829999999997</v>
      </c>
      <c r="H718" s="9">
        <v>-83.801117000000005</v>
      </c>
      <c r="I718" s="19">
        <v>2597</v>
      </c>
      <c r="J718" s="19" t="s">
        <v>26</v>
      </c>
      <c r="K718" s="10">
        <v>41549</v>
      </c>
      <c r="L718" s="10">
        <v>41808</v>
      </c>
      <c r="M718" s="11">
        <f t="shared" si="30"/>
        <v>260</v>
      </c>
      <c r="N718" s="11">
        <f t="shared" si="1"/>
        <v>260</v>
      </c>
      <c r="O718" s="8"/>
      <c r="P718" s="8">
        <v>28</v>
      </c>
    </row>
    <row r="719" spans="1:27" ht="15.75" hidden="1" customHeight="1" x14ac:dyDescent="0.2">
      <c r="A719" s="19" t="s">
        <v>42</v>
      </c>
      <c r="B719" s="19" t="s">
        <v>431</v>
      </c>
      <c r="C719" s="19" t="s">
        <v>491</v>
      </c>
      <c r="D719" s="8" t="s">
        <v>494</v>
      </c>
      <c r="E719" s="9">
        <v>193368</v>
      </c>
      <c r="F719" s="9">
        <v>1060867</v>
      </c>
      <c r="G719" s="9">
        <v>9.5858329999999992</v>
      </c>
      <c r="H719" s="9">
        <v>-83.793333000000004</v>
      </c>
      <c r="I719" s="19">
        <v>2635</v>
      </c>
      <c r="J719" s="19" t="s">
        <v>26</v>
      </c>
      <c r="K719" s="10">
        <v>41651</v>
      </c>
      <c r="L719" s="10">
        <v>41720</v>
      </c>
      <c r="M719" s="11">
        <v>60</v>
      </c>
      <c r="N719" s="11">
        <f t="shared" si="1"/>
        <v>70</v>
      </c>
      <c r="O719" s="8"/>
      <c r="P719" s="8">
        <v>15</v>
      </c>
    </row>
    <row r="720" spans="1:27" ht="15.75" hidden="1" customHeight="1" x14ac:dyDescent="0.2">
      <c r="A720" s="19" t="s">
        <v>42</v>
      </c>
      <c r="B720" s="19" t="s">
        <v>431</v>
      </c>
      <c r="C720" s="19" t="s">
        <v>491</v>
      </c>
      <c r="D720" s="8" t="s">
        <v>495</v>
      </c>
      <c r="E720" s="9">
        <v>192512</v>
      </c>
      <c r="F720" s="9">
        <v>1060750</v>
      </c>
      <c r="G720" s="9">
        <v>9.5847169999999995</v>
      </c>
      <c r="H720" s="9">
        <v>-83.801117000000005</v>
      </c>
      <c r="I720" s="19">
        <v>2539</v>
      </c>
      <c r="J720" s="19" t="s">
        <v>26</v>
      </c>
      <c r="K720" s="10">
        <v>41672</v>
      </c>
      <c r="L720" s="10">
        <v>41720</v>
      </c>
      <c r="M720" s="11">
        <f t="shared" ref="M720:M724" si="31">IF(ISBLANK(K720),0,IF(ISBLANK(L720),0,L720-K720+1))</f>
        <v>49</v>
      </c>
      <c r="N720" s="11">
        <f t="shared" si="1"/>
        <v>49</v>
      </c>
      <c r="O720" s="8"/>
      <c r="P720" s="8">
        <v>14</v>
      </c>
    </row>
    <row r="721" spans="1:16" ht="15.75" hidden="1" customHeight="1" x14ac:dyDescent="0.2">
      <c r="A721" s="19" t="s">
        <v>42</v>
      </c>
      <c r="B721" s="19" t="s">
        <v>431</v>
      </c>
      <c r="C721" s="19" t="s">
        <v>491</v>
      </c>
      <c r="D721" s="8" t="s">
        <v>496</v>
      </c>
      <c r="E721" s="9">
        <v>192574</v>
      </c>
      <c r="F721" s="9">
        <v>1060750</v>
      </c>
      <c r="G721" s="9">
        <v>9.5847169999999995</v>
      </c>
      <c r="H721" s="9">
        <v>-83.800550000000001</v>
      </c>
      <c r="I721" s="19">
        <v>2568</v>
      </c>
      <c r="J721" s="19" t="s">
        <v>26</v>
      </c>
      <c r="K721" s="10">
        <v>41652</v>
      </c>
      <c r="L721" s="10">
        <v>41670</v>
      </c>
      <c r="M721" s="11">
        <f t="shared" si="31"/>
        <v>19</v>
      </c>
      <c r="N721" s="11">
        <f t="shared" si="1"/>
        <v>19</v>
      </c>
      <c r="O721" s="8"/>
      <c r="P721" s="8">
        <v>13</v>
      </c>
    </row>
    <row r="722" spans="1:16" ht="15.75" hidden="1" customHeight="1" x14ac:dyDescent="0.2">
      <c r="A722" s="19" t="s">
        <v>438</v>
      </c>
      <c r="B722" s="19" t="s">
        <v>431</v>
      </c>
      <c r="C722" s="19" t="s">
        <v>497</v>
      </c>
      <c r="D722" s="8" t="s">
        <v>498</v>
      </c>
      <c r="E722" s="9">
        <v>191785</v>
      </c>
      <c r="F722" s="9">
        <v>1057330</v>
      </c>
      <c r="G722" s="9">
        <v>9.5537700000000001</v>
      </c>
      <c r="H722" s="9">
        <v>-83.807479999999998</v>
      </c>
      <c r="I722" s="19">
        <v>2249</v>
      </c>
      <c r="J722" s="19" t="s">
        <v>26</v>
      </c>
      <c r="K722" s="7"/>
      <c r="L722" s="7"/>
      <c r="M722" s="11">
        <f t="shared" si="31"/>
        <v>0</v>
      </c>
      <c r="N722" s="11">
        <f t="shared" si="1"/>
        <v>0</v>
      </c>
      <c r="O722" s="8"/>
      <c r="P722" s="8">
        <v>4</v>
      </c>
    </row>
    <row r="723" spans="1:16" ht="15.75" hidden="1" customHeight="1" x14ac:dyDescent="0.2">
      <c r="A723" s="19" t="s">
        <v>452</v>
      </c>
      <c r="B723" s="19" t="s">
        <v>431</v>
      </c>
      <c r="C723" s="19" t="s">
        <v>497</v>
      </c>
      <c r="D723" s="8" t="s">
        <v>498</v>
      </c>
      <c r="E723" s="9">
        <v>191785</v>
      </c>
      <c r="F723" s="9">
        <v>1057330</v>
      </c>
      <c r="G723" s="9">
        <v>9.5537700000000001</v>
      </c>
      <c r="H723" s="9">
        <v>-83.807479999999998</v>
      </c>
      <c r="I723" s="19">
        <v>2249</v>
      </c>
      <c r="J723" s="19" t="s">
        <v>26</v>
      </c>
      <c r="K723" s="7"/>
      <c r="L723" s="7"/>
      <c r="M723" s="11">
        <f t="shared" si="31"/>
        <v>0</v>
      </c>
      <c r="N723" s="11">
        <f t="shared" si="1"/>
        <v>0</v>
      </c>
      <c r="O723" s="8"/>
      <c r="P723" s="8">
        <v>4</v>
      </c>
    </row>
    <row r="724" spans="1:16" ht="15.75" hidden="1" customHeight="1" x14ac:dyDescent="0.2">
      <c r="A724" s="19" t="s">
        <v>453</v>
      </c>
      <c r="B724" s="19" t="s">
        <v>431</v>
      </c>
      <c r="C724" s="19" t="s">
        <v>497</v>
      </c>
      <c r="D724" s="8" t="s">
        <v>498</v>
      </c>
      <c r="E724" s="9">
        <v>191785</v>
      </c>
      <c r="F724" s="9">
        <v>1057330</v>
      </c>
      <c r="G724" s="9">
        <v>9.5537700000000001</v>
      </c>
      <c r="H724" s="9">
        <v>-83.807479999999998</v>
      </c>
      <c r="I724" s="19">
        <v>2249</v>
      </c>
      <c r="J724" s="19" t="s">
        <v>26</v>
      </c>
      <c r="K724" s="10">
        <v>40402</v>
      </c>
      <c r="L724" s="10">
        <v>40412</v>
      </c>
      <c r="M724" s="11">
        <f t="shared" si="31"/>
        <v>11</v>
      </c>
      <c r="N724" s="11">
        <f t="shared" si="1"/>
        <v>11</v>
      </c>
      <c r="O724" s="8"/>
      <c r="P724" s="8" t="s">
        <v>499</v>
      </c>
    </row>
    <row r="725" spans="1:16" ht="15.75" hidden="1" customHeight="1" x14ac:dyDescent="0.2">
      <c r="A725" s="19" t="s">
        <v>443</v>
      </c>
      <c r="B725" s="19" t="s">
        <v>431</v>
      </c>
      <c r="C725" s="19" t="s">
        <v>497</v>
      </c>
      <c r="D725" s="8" t="s">
        <v>498</v>
      </c>
      <c r="E725" s="9">
        <v>191785</v>
      </c>
      <c r="F725" s="9">
        <v>1057330</v>
      </c>
      <c r="G725" s="9">
        <v>9.5537700000000001</v>
      </c>
      <c r="H725" s="9">
        <v>-83.807479999999998</v>
      </c>
      <c r="I725" s="19">
        <v>2249</v>
      </c>
      <c r="J725" s="19" t="s">
        <v>26</v>
      </c>
      <c r="K725" s="10">
        <v>40645</v>
      </c>
      <c r="L725" s="10">
        <v>40758</v>
      </c>
      <c r="M725" s="11">
        <v>39</v>
      </c>
      <c r="N725" s="11">
        <f t="shared" si="1"/>
        <v>114</v>
      </c>
      <c r="O725" s="8"/>
      <c r="P725" s="8">
        <v>4</v>
      </c>
    </row>
    <row r="726" spans="1:16" ht="15.75" hidden="1" customHeight="1" x14ac:dyDescent="0.2">
      <c r="A726" s="7" t="s">
        <v>52</v>
      </c>
      <c r="B726" s="7" t="s">
        <v>431</v>
      </c>
      <c r="C726" s="7" t="s">
        <v>497</v>
      </c>
      <c r="D726" s="7" t="s">
        <v>498</v>
      </c>
      <c r="E726" s="7">
        <v>191785</v>
      </c>
      <c r="F726" s="7">
        <v>1057330</v>
      </c>
      <c r="G726" s="7">
        <v>9.5537670000000006</v>
      </c>
      <c r="H726" s="7">
        <v>-83.807483000000005</v>
      </c>
      <c r="I726" s="7">
        <v>2249</v>
      </c>
      <c r="J726" s="7" t="s">
        <v>26</v>
      </c>
      <c r="K726" s="10">
        <v>41014</v>
      </c>
      <c r="L726" s="10">
        <v>41130</v>
      </c>
      <c r="M726" s="11">
        <f t="shared" ref="M726:M733" si="32">IF(ISBLANK(K726),0,IF(ISBLANK(L726),0,L726-K726+1))</f>
        <v>117</v>
      </c>
      <c r="N726" s="11">
        <f t="shared" si="1"/>
        <v>117</v>
      </c>
      <c r="O726" s="8" t="s">
        <v>62</v>
      </c>
      <c r="P726" s="7"/>
    </row>
    <row r="727" spans="1:16" ht="15.75" hidden="1" customHeight="1" x14ac:dyDescent="0.2">
      <c r="A727" s="19" t="s">
        <v>131</v>
      </c>
      <c r="B727" s="19" t="s">
        <v>431</v>
      </c>
      <c r="C727" s="19" t="s">
        <v>500</v>
      </c>
      <c r="D727" s="8" t="s">
        <v>501</v>
      </c>
      <c r="E727" s="9">
        <v>194133.78</v>
      </c>
      <c r="F727" s="9">
        <v>1060015.6000000001</v>
      </c>
      <c r="G727" s="9">
        <v>9.5782000000000007</v>
      </c>
      <c r="H727" s="9">
        <v>-83.786299999999997</v>
      </c>
      <c r="I727" s="19">
        <v>2956</v>
      </c>
      <c r="J727" s="19" t="s">
        <v>26</v>
      </c>
      <c r="K727" s="10">
        <v>42823</v>
      </c>
      <c r="L727" s="10">
        <v>42867</v>
      </c>
      <c r="M727" s="11">
        <f t="shared" si="32"/>
        <v>45</v>
      </c>
      <c r="N727" s="11">
        <f t="shared" si="1"/>
        <v>45</v>
      </c>
      <c r="O727" s="8"/>
      <c r="P727" s="8" t="s">
        <v>501</v>
      </c>
    </row>
    <row r="728" spans="1:16" ht="15.75" hidden="1" customHeight="1" x14ac:dyDescent="0.2">
      <c r="A728" s="19" t="s">
        <v>186</v>
      </c>
      <c r="B728" s="19" t="s">
        <v>431</v>
      </c>
      <c r="C728" s="19" t="s">
        <v>500</v>
      </c>
      <c r="D728" s="8" t="s">
        <v>501</v>
      </c>
      <c r="E728" s="9">
        <v>194134</v>
      </c>
      <c r="F728" s="9">
        <v>1060015.6000000001</v>
      </c>
      <c r="G728" s="9">
        <v>9.5782000000000007</v>
      </c>
      <c r="H728" s="9">
        <v>-83.786299999999997</v>
      </c>
      <c r="I728" s="19">
        <v>2956</v>
      </c>
      <c r="J728" s="19" t="s">
        <v>26</v>
      </c>
      <c r="K728" s="7"/>
      <c r="L728" s="7"/>
      <c r="M728" s="11">
        <f t="shared" si="32"/>
        <v>0</v>
      </c>
      <c r="N728" s="11">
        <f t="shared" si="1"/>
        <v>0</v>
      </c>
      <c r="O728" s="8"/>
      <c r="P728" s="8" t="s">
        <v>501</v>
      </c>
    </row>
    <row r="729" spans="1:16" ht="15.75" hidden="1" customHeight="1" x14ac:dyDescent="0.2">
      <c r="A729" s="19" t="s">
        <v>186</v>
      </c>
      <c r="B729" s="19" t="s">
        <v>431</v>
      </c>
      <c r="C729" s="19" t="s">
        <v>500</v>
      </c>
      <c r="D729" s="8" t="s">
        <v>502</v>
      </c>
      <c r="E729" s="9">
        <v>193925</v>
      </c>
      <c r="F729" s="9">
        <v>1059973.02</v>
      </c>
      <c r="G729" s="9">
        <v>9.5777999999999999</v>
      </c>
      <c r="H729" s="9">
        <v>-83.788200000000003</v>
      </c>
      <c r="I729" s="19">
        <v>2876</v>
      </c>
      <c r="J729" s="19" t="s">
        <v>26</v>
      </c>
      <c r="K729" s="7"/>
      <c r="L729" s="7"/>
      <c r="M729" s="11">
        <f t="shared" si="32"/>
        <v>0</v>
      </c>
      <c r="N729" s="11">
        <f t="shared" si="1"/>
        <v>0</v>
      </c>
      <c r="O729" s="8"/>
      <c r="P729" s="8" t="s">
        <v>502</v>
      </c>
    </row>
    <row r="730" spans="1:16" ht="15.75" hidden="1" customHeight="1" x14ac:dyDescent="0.2">
      <c r="A730" s="19" t="s">
        <v>131</v>
      </c>
      <c r="B730" s="19" t="s">
        <v>431</v>
      </c>
      <c r="C730" s="19" t="s">
        <v>500</v>
      </c>
      <c r="D730" s="8" t="s">
        <v>503</v>
      </c>
      <c r="E730" s="9">
        <v>193836.45</v>
      </c>
      <c r="F730" s="9">
        <v>1059929.46</v>
      </c>
      <c r="G730" s="9">
        <v>9.5774000000000008</v>
      </c>
      <c r="H730" s="9">
        <v>-83.789000000000001</v>
      </c>
      <c r="I730" s="19">
        <v>2848</v>
      </c>
      <c r="J730" s="19" t="s">
        <v>26</v>
      </c>
      <c r="K730" s="10">
        <v>42823</v>
      </c>
      <c r="L730" s="10">
        <v>42867</v>
      </c>
      <c r="M730" s="11">
        <f t="shared" si="32"/>
        <v>45</v>
      </c>
      <c r="N730" s="11">
        <f t="shared" si="1"/>
        <v>45</v>
      </c>
      <c r="O730" s="8"/>
      <c r="P730" s="8" t="s">
        <v>503</v>
      </c>
    </row>
    <row r="731" spans="1:16" ht="15.75" hidden="1" customHeight="1" x14ac:dyDescent="0.2">
      <c r="A731" s="19" t="s">
        <v>186</v>
      </c>
      <c r="B731" s="19" t="s">
        <v>431</v>
      </c>
      <c r="C731" s="19" t="s">
        <v>500</v>
      </c>
      <c r="D731" s="8" t="s">
        <v>503</v>
      </c>
      <c r="E731" s="9">
        <v>193836</v>
      </c>
      <c r="F731" s="9">
        <v>1059929.46</v>
      </c>
      <c r="G731" s="9">
        <v>9.5774000000000008</v>
      </c>
      <c r="H731" s="9">
        <v>-83.789000000000001</v>
      </c>
      <c r="I731" s="19">
        <v>2848</v>
      </c>
      <c r="J731" s="19" t="s">
        <v>26</v>
      </c>
      <c r="K731" s="7"/>
      <c r="L731" s="7"/>
      <c r="M731" s="11">
        <f t="shared" si="32"/>
        <v>0</v>
      </c>
      <c r="N731" s="11">
        <f t="shared" si="1"/>
        <v>0</v>
      </c>
      <c r="O731" s="8"/>
      <c r="P731" s="8" t="s">
        <v>503</v>
      </c>
    </row>
    <row r="732" spans="1:16" ht="15.75" hidden="1" customHeight="1" x14ac:dyDescent="0.2">
      <c r="A732" s="19" t="s">
        <v>131</v>
      </c>
      <c r="B732" s="19" t="s">
        <v>431</v>
      </c>
      <c r="C732" s="19" t="s">
        <v>500</v>
      </c>
      <c r="D732" s="8" t="s">
        <v>504</v>
      </c>
      <c r="E732" s="9">
        <v>193428.98</v>
      </c>
      <c r="F732" s="9">
        <v>1059811</v>
      </c>
      <c r="G732" s="9">
        <v>9.5762999999999998</v>
      </c>
      <c r="H732" s="9">
        <v>-83.792699999999996</v>
      </c>
      <c r="I732" s="19">
        <v>2742</v>
      </c>
      <c r="J732" s="19" t="s">
        <v>26</v>
      </c>
      <c r="K732" s="10">
        <v>42823</v>
      </c>
      <c r="L732" s="10">
        <v>42867</v>
      </c>
      <c r="M732" s="11">
        <f t="shared" si="32"/>
        <v>45</v>
      </c>
      <c r="N732" s="11">
        <f t="shared" si="1"/>
        <v>45</v>
      </c>
      <c r="O732" s="8"/>
      <c r="P732" s="8" t="s">
        <v>504</v>
      </c>
    </row>
    <row r="733" spans="1:16" ht="15.75" hidden="1" customHeight="1" x14ac:dyDescent="0.2">
      <c r="A733" s="19" t="s">
        <v>186</v>
      </c>
      <c r="B733" s="19" t="s">
        <v>431</v>
      </c>
      <c r="C733" s="19" t="s">
        <v>500</v>
      </c>
      <c r="D733" s="8" t="s">
        <v>504</v>
      </c>
      <c r="E733" s="9">
        <v>193429</v>
      </c>
      <c r="F733" s="9">
        <v>1059811</v>
      </c>
      <c r="G733" s="9">
        <v>9.5762999999999998</v>
      </c>
      <c r="H733" s="9">
        <v>-83.792699999999996</v>
      </c>
      <c r="I733" s="19">
        <v>2742</v>
      </c>
      <c r="J733" s="19" t="s">
        <v>26</v>
      </c>
      <c r="K733" s="7"/>
      <c r="L733" s="7"/>
      <c r="M733" s="11">
        <f t="shared" si="32"/>
        <v>0</v>
      </c>
      <c r="N733" s="11">
        <f t="shared" si="1"/>
        <v>0</v>
      </c>
      <c r="O733" s="8"/>
      <c r="P733" s="8" t="s">
        <v>504</v>
      </c>
    </row>
    <row r="734" spans="1:16" ht="15.75" hidden="1" customHeight="1" x14ac:dyDescent="0.2">
      <c r="A734" s="19" t="s">
        <v>131</v>
      </c>
      <c r="B734" s="19" t="s">
        <v>431</v>
      </c>
      <c r="C734" s="19" t="s">
        <v>500</v>
      </c>
      <c r="D734" s="8" t="s">
        <v>505</v>
      </c>
      <c r="E734" s="9">
        <v>193056.45</v>
      </c>
      <c r="F734" s="9">
        <v>1059935.79</v>
      </c>
      <c r="G734" s="9">
        <v>9.5774000000000008</v>
      </c>
      <c r="H734" s="9">
        <v>-83.796099999999996</v>
      </c>
      <c r="I734" s="19">
        <v>2614</v>
      </c>
      <c r="J734" s="19" t="s">
        <v>26</v>
      </c>
      <c r="K734" s="10">
        <v>42781</v>
      </c>
      <c r="L734" s="10">
        <v>42867</v>
      </c>
      <c r="M734" s="11">
        <v>65</v>
      </c>
      <c r="N734" s="11">
        <f t="shared" si="1"/>
        <v>87</v>
      </c>
      <c r="O734" s="8"/>
      <c r="P734" s="8" t="s">
        <v>505</v>
      </c>
    </row>
    <row r="735" spans="1:16" ht="15.75" hidden="1" customHeight="1" x14ac:dyDescent="0.2">
      <c r="A735" s="19" t="s">
        <v>186</v>
      </c>
      <c r="B735" s="19" t="s">
        <v>431</v>
      </c>
      <c r="C735" s="19" t="s">
        <v>500</v>
      </c>
      <c r="D735" s="8" t="s">
        <v>505</v>
      </c>
      <c r="E735" s="9">
        <v>193056</v>
      </c>
      <c r="F735" s="9">
        <v>1059935.79</v>
      </c>
      <c r="G735" s="9">
        <v>9.5774000000000008</v>
      </c>
      <c r="H735" s="9">
        <v>-83.796099999999996</v>
      </c>
      <c r="I735" s="19">
        <v>2614</v>
      </c>
      <c r="J735" s="19" t="s">
        <v>26</v>
      </c>
      <c r="K735" s="7"/>
      <c r="L735" s="7"/>
      <c r="M735" s="11">
        <f t="shared" ref="M735:M740" si="33">IF(ISBLANK(K735),0,IF(ISBLANK(L735),0,L735-K735+1))</f>
        <v>0</v>
      </c>
      <c r="N735" s="11">
        <f t="shared" si="1"/>
        <v>0</v>
      </c>
      <c r="O735" s="8"/>
      <c r="P735" s="8" t="s">
        <v>505</v>
      </c>
    </row>
    <row r="736" spans="1:16" ht="15.75" hidden="1" customHeight="1" x14ac:dyDescent="0.2">
      <c r="A736" s="19" t="s">
        <v>186</v>
      </c>
      <c r="B736" s="19" t="s">
        <v>431</v>
      </c>
      <c r="C736" s="19" t="s">
        <v>500</v>
      </c>
      <c r="D736" s="8" t="s">
        <v>506</v>
      </c>
      <c r="E736" s="9">
        <v>192880</v>
      </c>
      <c r="F736" s="9">
        <v>1059848.67</v>
      </c>
      <c r="G736" s="9">
        <v>9.5765999999999991</v>
      </c>
      <c r="H736" s="9">
        <v>-83.797700000000006</v>
      </c>
      <c r="I736" s="19">
        <v>2558</v>
      </c>
      <c r="J736" s="19" t="s">
        <v>26</v>
      </c>
      <c r="K736" s="7"/>
      <c r="L736" s="7"/>
      <c r="M736" s="11">
        <f t="shared" si="33"/>
        <v>0</v>
      </c>
      <c r="N736" s="11">
        <f t="shared" si="1"/>
        <v>0</v>
      </c>
      <c r="O736" s="8"/>
      <c r="P736" s="8" t="s">
        <v>506</v>
      </c>
    </row>
    <row r="737" spans="1:27" ht="15.75" hidden="1" customHeight="1" x14ac:dyDescent="0.2">
      <c r="A737" s="19" t="s">
        <v>182</v>
      </c>
      <c r="B737" s="19" t="s">
        <v>431</v>
      </c>
      <c r="C737" s="19" t="s">
        <v>507</v>
      </c>
      <c r="D737" s="8" t="s">
        <v>508</v>
      </c>
      <c r="E737" s="9">
        <v>190484</v>
      </c>
      <c r="F737" s="9">
        <v>1062418</v>
      </c>
      <c r="G737" s="9">
        <v>9.599634</v>
      </c>
      <c r="H737" s="9">
        <v>-83.819699999999997</v>
      </c>
      <c r="I737" s="19">
        <v>3092</v>
      </c>
      <c r="J737" s="19" t="s">
        <v>26</v>
      </c>
      <c r="K737" s="10">
        <v>41811</v>
      </c>
      <c r="L737" s="10">
        <v>41844</v>
      </c>
      <c r="M737" s="11">
        <f t="shared" si="33"/>
        <v>34</v>
      </c>
      <c r="N737" s="11">
        <f t="shared" si="1"/>
        <v>34</v>
      </c>
      <c r="O737" s="8"/>
      <c r="P737" s="8">
        <v>33</v>
      </c>
    </row>
    <row r="738" spans="1:27" ht="15.75" hidden="1" customHeight="1" x14ac:dyDescent="0.2">
      <c r="A738" s="19" t="s">
        <v>52</v>
      </c>
      <c r="B738" s="19" t="s">
        <v>431</v>
      </c>
      <c r="C738" s="19" t="s">
        <v>507</v>
      </c>
      <c r="D738" s="8" t="s">
        <v>509</v>
      </c>
      <c r="E738" s="9">
        <v>191634</v>
      </c>
      <c r="F738" s="9">
        <v>1059706</v>
      </c>
      <c r="G738" s="9">
        <v>9.5752199999999998</v>
      </c>
      <c r="H738" s="9">
        <v>-83.809030000000007</v>
      </c>
      <c r="I738" s="19">
        <v>2904</v>
      </c>
      <c r="J738" s="19" t="s">
        <v>26</v>
      </c>
      <c r="K738" s="10">
        <v>41078</v>
      </c>
      <c r="L738" s="10">
        <v>41129</v>
      </c>
      <c r="M738" s="11">
        <f t="shared" si="33"/>
        <v>52</v>
      </c>
      <c r="N738" s="11">
        <f t="shared" si="1"/>
        <v>52</v>
      </c>
      <c r="O738" s="8"/>
      <c r="P738" s="8">
        <v>31</v>
      </c>
    </row>
    <row r="739" spans="1:27" ht="15.75" hidden="1" customHeight="1" x14ac:dyDescent="0.2">
      <c r="A739" s="19" t="s">
        <v>193</v>
      </c>
      <c r="B739" s="7" t="s">
        <v>431</v>
      </c>
      <c r="C739" s="19" t="s">
        <v>507</v>
      </c>
      <c r="D739" s="8" t="s">
        <v>509</v>
      </c>
      <c r="E739" s="9">
        <v>190762</v>
      </c>
      <c r="F739" s="9">
        <v>1060316</v>
      </c>
      <c r="G739" s="9">
        <v>9.6122329999999998</v>
      </c>
      <c r="H739" s="9">
        <v>-83.815899999999999</v>
      </c>
      <c r="I739" s="7">
        <v>3067</v>
      </c>
      <c r="J739" s="19" t="s">
        <v>26</v>
      </c>
      <c r="K739" s="10">
        <v>41447</v>
      </c>
      <c r="L739" s="10">
        <v>41468</v>
      </c>
      <c r="M739" s="11">
        <f t="shared" si="33"/>
        <v>22</v>
      </c>
      <c r="N739" s="11">
        <f t="shared" si="1"/>
        <v>22</v>
      </c>
      <c r="O739" s="8"/>
      <c r="P739" s="8">
        <v>31</v>
      </c>
    </row>
    <row r="740" spans="1:27" ht="15.75" hidden="1" customHeight="1" x14ac:dyDescent="0.2">
      <c r="A740" s="19" t="s">
        <v>182</v>
      </c>
      <c r="B740" s="7" t="s">
        <v>431</v>
      </c>
      <c r="C740" s="19" t="s">
        <v>507</v>
      </c>
      <c r="D740" s="8" t="s">
        <v>509</v>
      </c>
      <c r="E740" s="9">
        <v>190894</v>
      </c>
      <c r="F740" s="9">
        <v>1063791</v>
      </c>
      <c r="G740" s="9">
        <v>9.6120669999999997</v>
      </c>
      <c r="H740" s="9">
        <v>-83.816069999999996</v>
      </c>
      <c r="I740" s="7">
        <v>3011</v>
      </c>
      <c r="J740" s="19" t="s">
        <v>26</v>
      </c>
      <c r="K740" s="10">
        <v>41814</v>
      </c>
      <c r="L740" s="10">
        <v>41842</v>
      </c>
      <c r="M740" s="11">
        <f t="shared" si="33"/>
        <v>29</v>
      </c>
      <c r="N740" s="11">
        <f t="shared" si="1"/>
        <v>29</v>
      </c>
      <c r="O740" s="8"/>
      <c r="P740" s="8">
        <v>31</v>
      </c>
    </row>
    <row r="741" spans="1:27" ht="15.75" hidden="1" customHeight="1" x14ac:dyDescent="0.2">
      <c r="A741" s="19" t="s">
        <v>443</v>
      </c>
      <c r="B741" s="7" t="s">
        <v>431</v>
      </c>
      <c r="C741" s="19" t="s">
        <v>507</v>
      </c>
      <c r="D741" s="8" t="s">
        <v>510</v>
      </c>
      <c r="E741" s="9"/>
      <c r="F741" s="9"/>
      <c r="G741" s="9"/>
      <c r="H741" s="9"/>
      <c r="I741" s="7"/>
      <c r="J741" s="19" t="s">
        <v>26</v>
      </c>
      <c r="K741" s="10">
        <v>40710</v>
      </c>
      <c r="L741" s="10">
        <v>40759</v>
      </c>
      <c r="M741" s="11">
        <v>35</v>
      </c>
      <c r="N741" s="11">
        <f t="shared" si="1"/>
        <v>50</v>
      </c>
      <c r="O741" s="8"/>
      <c r="P741" s="8">
        <v>30</v>
      </c>
    </row>
    <row r="742" spans="1:27" ht="15.75" hidden="1" customHeight="1" x14ac:dyDescent="0.2">
      <c r="A742" s="19" t="s">
        <v>52</v>
      </c>
      <c r="B742" s="7" t="s">
        <v>431</v>
      </c>
      <c r="C742" s="19" t="s">
        <v>507</v>
      </c>
      <c r="D742" s="8" t="s">
        <v>510</v>
      </c>
      <c r="E742" s="9">
        <v>191030</v>
      </c>
      <c r="F742" s="9">
        <v>1060030</v>
      </c>
      <c r="G742" s="9">
        <v>9.5780999999999992</v>
      </c>
      <c r="H742" s="9">
        <v>-83.814549999999997</v>
      </c>
      <c r="I742" s="7">
        <v>3059</v>
      </c>
      <c r="J742" s="19" t="s">
        <v>26</v>
      </c>
      <c r="K742" s="10">
        <v>41078</v>
      </c>
      <c r="L742" s="10">
        <v>41129</v>
      </c>
      <c r="M742" s="11">
        <f t="shared" ref="M742:M746" si="34">IF(ISBLANK(K742),0,IF(ISBLANK(L742),0,L742-K742+1))</f>
        <v>52</v>
      </c>
      <c r="N742" s="11">
        <f t="shared" si="1"/>
        <v>52</v>
      </c>
      <c r="O742" s="8"/>
      <c r="P742" s="8">
        <v>30</v>
      </c>
    </row>
    <row r="743" spans="1:27" ht="15.75" hidden="1" customHeight="1" x14ac:dyDescent="0.2">
      <c r="A743" s="19" t="s">
        <v>443</v>
      </c>
      <c r="B743" s="7" t="s">
        <v>431</v>
      </c>
      <c r="C743" s="19" t="s">
        <v>507</v>
      </c>
      <c r="D743" s="8" t="s">
        <v>511</v>
      </c>
      <c r="E743" s="9"/>
      <c r="F743" s="9"/>
      <c r="G743" s="9"/>
      <c r="H743" s="9"/>
      <c r="I743" s="7"/>
      <c r="J743" s="19" t="s">
        <v>26</v>
      </c>
      <c r="K743" s="10">
        <v>40735</v>
      </c>
      <c r="L743" s="10">
        <v>40759</v>
      </c>
      <c r="M743" s="11">
        <f t="shared" si="34"/>
        <v>25</v>
      </c>
      <c r="N743" s="11">
        <f t="shared" si="1"/>
        <v>25</v>
      </c>
      <c r="O743" s="8"/>
      <c r="P743" s="8">
        <v>29</v>
      </c>
    </row>
    <row r="744" spans="1:27" ht="15.75" hidden="1" customHeight="1" x14ac:dyDescent="0.2">
      <c r="A744" s="19" t="s">
        <v>52</v>
      </c>
      <c r="B744" s="7" t="s">
        <v>431</v>
      </c>
      <c r="C744" s="19" t="s">
        <v>507</v>
      </c>
      <c r="D744" s="8" t="s">
        <v>511</v>
      </c>
      <c r="E744" s="9">
        <v>190763</v>
      </c>
      <c r="F744" s="9">
        <v>1061395</v>
      </c>
      <c r="G744" s="9">
        <v>9.5904199999999999</v>
      </c>
      <c r="H744" s="9">
        <v>-83.817080000000004</v>
      </c>
      <c r="I744" s="7">
        <v>3118</v>
      </c>
      <c r="J744" s="19" t="s">
        <v>26</v>
      </c>
      <c r="K744" s="10">
        <v>41078</v>
      </c>
      <c r="L744" s="10">
        <v>41129</v>
      </c>
      <c r="M744" s="11">
        <f t="shared" si="34"/>
        <v>52</v>
      </c>
      <c r="N744" s="11">
        <f t="shared" si="1"/>
        <v>52</v>
      </c>
      <c r="O744" s="8"/>
      <c r="P744" s="8">
        <v>29</v>
      </c>
    </row>
    <row r="745" spans="1:27" ht="15.75" hidden="1" customHeight="1" x14ac:dyDescent="0.2">
      <c r="A745" s="7" t="s">
        <v>193</v>
      </c>
      <c r="B745" s="7" t="s">
        <v>431</v>
      </c>
      <c r="C745" s="7" t="s">
        <v>507</v>
      </c>
      <c r="D745" s="8" t="s">
        <v>511</v>
      </c>
      <c r="E745" s="9">
        <v>190654</v>
      </c>
      <c r="F745" s="9">
        <v>1061765</v>
      </c>
      <c r="G745" s="9">
        <v>9.602233</v>
      </c>
      <c r="H745" s="9">
        <v>-83.821200000000005</v>
      </c>
      <c r="I745" s="7">
        <v>3088</v>
      </c>
      <c r="J745" s="7" t="s">
        <v>26</v>
      </c>
      <c r="K745" s="10">
        <v>41453</v>
      </c>
      <c r="L745" s="10">
        <v>41461</v>
      </c>
      <c r="M745" s="11">
        <f t="shared" si="34"/>
        <v>9</v>
      </c>
      <c r="N745" s="11">
        <f t="shared" si="1"/>
        <v>9</v>
      </c>
      <c r="O745" s="8"/>
      <c r="P745" s="8">
        <v>29</v>
      </c>
    </row>
    <row r="746" spans="1:27" ht="15.75" hidden="1" customHeight="1" x14ac:dyDescent="0.2">
      <c r="A746" s="7" t="s">
        <v>182</v>
      </c>
      <c r="B746" s="7" t="s">
        <v>431</v>
      </c>
      <c r="C746" s="7" t="s">
        <v>507</v>
      </c>
      <c r="D746" s="8" t="s">
        <v>511</v>
      </c>
      <c r="E746" s="9">
        <v>190314</v>
      </c>
      <c r="F746" s="9">
        <v>1062702</v>
      </c>
      <c r="G746" s="9">
        <v>9.6021870000000007</v>
      </c>
      <c r="H746" s="9">
        <v>-83.821268000000003</v>
      </c>
      <c r="I746" s="7">
        <v>3029</v>
      </c>
      <c r="J746" s="7" t="s">
        <v>26</v>
      </c>
      <c r="K746" s="10">
        <v>41820</v>
      </c>
      <c r="L746" s="10">
        <v>41839</v>
      </c>
      <c r="M746" s="11">
        <f t="shared" si="34"/>
        <v>20</v>
      </c>
      <c r="N746" s="11">
        <f t="shared" si="1"/>
        <v>20</v>
      </c>
      <c r="O746" s="8"/>
      <c r="P746" s="8">
        <v>29</v>
      </c>
    </row>
    <row r="747" spans="1:27" ht="15.75" hidden="1" customHeight="1" x14ac:dyDescent="0.2">
      <c r="A747" s="7" t="s">
        <v>443</v>
      </c>
      <c r="B747" s="7" t="s">
        <v>431</v>
      </c>
      <c r="C747" s="7" t="s">
        <v>507</v>
      </c>
      <c r="D747" s="8" t="s">
        <v>512</v>
      </c>
      <c r="E747" s="9"/>
      <c r="F747" s="9"/>
      <c r="G747" s="9"/>
      <c r="H747" s="9"/>
      <c r="I747" s="7"/>
      <c r="J747" s="7" t="s">
        <v>26</v>
      </c>
      <c r="K747" s="10">
        <v>40730</v>
      </c>
      <c r="L747" s="10">
        <v>40759</v>
      </c>
      <c r="M747" s="11">
        <v>25</v>
      </c>
      <c r="N747" s="11">
        <f t="shared" si="1"/>
        <v>30</v>
      </c>
      <c r="O747" s="8"/>
      <c r="P747" s="8">
        <v>28</v>
      </c>
    </row>
    <row r="748" spans="1:27" ht="15.75" hidden="1" customHeight="1" x14ac:dyDescent="0.2">
      <c r="A748" s="7" t="s">
        <v>52</v>
      </c>
      <c r="B748" s="7" t="s">
        <v>431</v>
      </c>
      <c r="C748" s="7" t="s">
        <v>507</v>
      </c>
      <c r="D748" s="8" t="s">
        <v>512</v>
      </c>
      <c r="E748" s="9">
        <v>190323</v>
      </c>
      <c r="F748" s="9">
        <v>1062668</v>
      </c>
      <c r="G748" s="9">
        <v>9.6018799999999995</v>
      </c>
      <c r="H748" s="9">
        <v>-83.821179999999998</v>
      </c>
      <c r="I748" s="7">
        <v>3039</v>
      </c>
      <c r="J748" s="7" t="s">
        <v>26</v>
      </c>
      <c r="K748" s="10">
        <v>41078</v>
      </c>
      <c r="L748" s="10">
        <v>41129</v>
      </c>
      <c r="M748" s="11">
        <f t="shared" ref="M748:M778" si="35">IF(ISBLANK(K748),0,IF(ISBLANK(L748),0,L748-K748+1))</f>
        <v>52</v>
      </c>
      <c r="N748" s="11">
        <f t="shared" si="1"/>
        <v>52</v>
      </c>
      <c r="O748" s="8"/>
      <c r="P748" s="8">
        <v>28</v>
      </c>
      <c r="Q748" s="14"/>
      <c r="R748" s="14"/>
      <c r="S748" s="14"/>
      <c r="T748" s="14"/>
      <c r="U748" s="14"/>
      <c r="V748" s="14"/>
      <c r="W748" s="14"/>
      <c r="X748" s="14"/>
      <c r="Y748" s="14"/>
      <c r="Z748" s="14"/>
      <c r="AA748" s="14"/>
    </row>
    <row r="749" spans="1:27" ht="15.75" hidden="1" customHeight="1" x14ac:dyDescent="0.2">
      <c r="A749" s="7" t="s">
        <v>193</v>
      </c>
      <c r="B749" s="7" t="s">
        <v>431</v>
      </c>
      <c r="C749" s="7" t="s">
        <v>507</v>
      </c>
      <c r="D749" s="8" t="s">
        <v>512</v>
      </c>
      <c r="E749" s="9">
        <v>190323</v>
      </c>
      <c r="F749" s="9">
        <v>1062674</v>
      </c>
      <c r="G749" s="9">
        <v>9.601934</v>
      </c>
      <c r="H749" s="9">
        <v>-83.821184000000002</v>
      </c>
      <c r="I749" s="7">
        <v>3041</v>
      </c>
      <c r="J749" s="7" t="s">
        <v>26</v>
      </c>
      <c r="K749" s="10">
        <v>41455</v>
      </c>
      <c r="L749" s="10">
        <v>41456</v>
      </c>
      <c r="M749" s="11">
        <f t="shared" si="35"/>
        <v>2</v>
      </c>
      <c r="N749" s="11">
        <f t="shared" si="1"/>
        <v>2</v>
      </c>
      <c r="O749" s="8"/>
      <c r="P749" s="8">
        <v>28</v>
      </c>
      <c r="Q749" s="14"/>
      <c r="R749" s="14"/>
      <c r="S749" s="14"/>
      <c r="T749" s="14"/>
      <c r="U749" s="14"/>
      <c r="V749" s="14"/>
      <c r="W749" s="14"/>
      <c r="X749" s="14"/>
      <c r="Y749" s="14"/>
      <c r="Z749" s="14"/>
      <c r="AA749" s="14"/>
    </row>
    <row r="750" spans="1:27" ht="15.75" hidden="1" customHeight="1" x14ac:dyDescent="0.2">
      <c r="A750" s="7" t="s">
        <v>453</v>
      </c>
      <c r="B750" s="7" t="s">
        <v>431</v>
      </c>
      <c r="C750" s="7" t="s">
        <v>513</v>
      </c>
      <c r="D750" s="8" t="s">
        <v>514</v>
      </c>
      <c r="E750" s="9">
        <v>190617</v>
      </c>
      <c r="F750" s="9">
        <v>1055675</v>
      </c>
      <c r="G750" s="9">
        <v>9.5387299999999993</v>
      </c>
      <c r="H750" s="9">
        <v>-83.817980000000006</v>
      </c>
      <c r="I750" s="7">
        <v>2104</v>
      </c>
      <c r="J750" s="7" t="s">
        <v>20</v>
      </c>
      <c r="K750" s="10">
        <v>40388</v>
      </c>
      <c r="L750" s="10">
        <v>40395</v>
      </c>
      <c r="M750" s="11">
        <f t="shared" si="35"/>
        <v>8</v>
      </c>
      <c r="N750" s="11">
        <f t="shared" si="1"/>
        <v>8</v>
      </c>
      <c r="O750" s="8"/>
      <c r="P750" s="8" t="s">
        <v>515</v>
      </c>
      <c r="Q750" s="14"/>
      <c r="R750" s="14"/>
      <c r="S750" s="14"/>
      <c r="T750" s="14"/>
      <c r="U750" s="14"/>
      <c r="V750" s="14"/>
      <c r="W750" s="14"/>
      <c r="X750" s="14"/>
      <c r="Y750" s="14"/>
      <c r="Z750" s="14"/>
      <c r="AA750" s="14"/>
    </row>
    <row r="751" spans="1:27" ht="15.75" hidden="1" customHeight="1" x14ac:dyDescent="0.2">
      <c r="A751" s="7" t="s">
        <v>453</v>
      </c>
      <c r="B751" s="7" t="s">
        <v>431</v>
      </c>
      <c r="C751" s="7" t="s">
        <v>516</v>
      </c>
      <c r="D751" s="8" t="s">
        <v>514</v>
      </c>
      <c r="E751" s="9">
        <v>192203</v>
      </c>
      <c r="F751" s="9">
        <v>1056508</v>
      </c>
      <c r="G751" s="9">
        <v>9.5463699999999996</v>
      </c>
      <c r="H751" s="9">
        <v>-83.803619999999995</v>
      </c>
      <c r="I751" s="7">
        <v>2297</v>
      </c>
      <c r="J751" s="7" t="s">
        <v>26</v>
      </c>
      <c r="K751" s="10">
        <v>40354</v>
      </c>
      <c r="L751" s="10">
        <v>40387</v>
      </c>
      <c r="M751" s="11">
        <f t="shared" si="35"/>
        <v>34</v>
      </c>
      <c r="N751" s="11">
        <f t="shared" si="1"/>
        <v>34</v>
      </c>
      <c r="O751" s="8"/>
      <c r="P751" s="8" t="s">
        <v>517</v>
      </c>
      <c r="Q751" s="14"/>
      <c r="R751" s="14"/>
      <c r="S751" s="14"/>
      <c r="T751" s="14"/>
      <c r="U751" s="14"/>
      <c r="V751" s="14"/>
      <c r="W751" s="14"/>
      <c r="X751" s="14"/>
      <c r="Y751" s="14"/>
      <c r="Z751" s="14"/>
      <c r="AA751" s="14"/>
    </row>
    <row r="752" spans="1:27" ht="15.75" hidden="1" customHeight="1" x14ac:dyDescent="0.2">
      <c r="A752" s="7" t="s">
        <v>453</v>
      </c>
      <c r="B752" s="7" t="s">
        <v>431</v>
      </c>
      <c r="C752" s="7" t="s">
        <v>516</v>
      </c>
      <c r="D752" s="8" t="s">
        <v>518</v>
      </c>
      <c r="E752" s="9">
        <v>191658</v>
      </c>
      <c r="F752" s="9">
        <v>1056650</v>
      </c>
      <c r="G752" s="9">
        <v>9.5476200000000002</v>
      </c>
      <c r="H752" s="9">
        <v>-83.808580000000006</v>
      </c>
      <c r="I752" s="7">
        <v>2200</v>
      </c>
      <c r="J752" s="7" t="s">
        <v>20</v>
      </c>
      <c r="K752" s="10">
        <v>40354</v>
      </c>
      <c r="L752" s="10">
        <v>40409</v>
      </c>
      <c r="M752" s="11">
        <f t="shared" si="35"/>
        <v>56</v>
      </c>
      <c r="N752" s="11">
        <f t="shared" si="1"/>
        <v>56</v>
      </c>
      <c r="O752" s="8"/>
      <c r="P752" s="8">
        <v>5</v>
      </c>
      <c r="Q752" s="14"/>
      <c r="R752" s="14"/>
      <c r="S752" s="14"/>
      <c r="T752" s="14"/>
      <c r="U752" s="14"/>
      <c r="V752" s="14"/>
      <c r="W752" s="14"/>
      <c r="X752" s="14"/>
      <c r="Y752" s="14"/>
      <c r="Z752" s="14"/>
      <c r="AA752" s="14"/>
    </row>
    <row r="753" spans="1:27" ht="15.75" hidden="1" customHeight="1" x14ac:dyDescent="0.2">
      <c r="A753" s="7" t="s">
        <v>453</v>
      </c>
      <c r="B753" s="7" t="s">
        <v>431</v>
      </c>
      <c r="C753" s="7" t="s">
        <v>516</v>
      </c>
      <c r="D753" s="8" t="s">
        <v>519</v>
      </c>
      <c r="E753" s="9">
        <v>191661</v>
      </c>
      <c r="F753" s="9">
        <v>1056578</v>
      </c>
      <c r="G753" s="9">
        <v>9.54697</v>
      </c>
      <c r="H753" s="9">
        <v>-83.808549999999997</v>
      </c>
      <c r="I753" s="7">
        <v>2205</v>
      </c>
      <c r="J753" s="7" t="s">
        <v>20</v>
      </c>
      <c r="K753" s="10">
        <v>40354</v>
      </c>
      <c r="L753" s="10">
        <v>40411</v>
      </c>
      <c r="M753" s="11">
        <f t="shared" si="35"/>
        <v>58</v>
      </c>
      <c r="N753" s="11">
        <f t="shared" si="1"/>
        <v>58</v>
      </c>
      <c r="O753" s="8"/>
      <c r="P753" s="8" t="s">
        <v>520</v>
      </c>
      <c r="Q753" s="14"/>
      <c r="R753" s="14"/>
      <c r="S753" s="14"/>
      <c r="T753" s="14"/>
      <c r="U753" s="14"/>
      <c r="V753" s="14"/>
      <c r="W753" s="14"/>
      <c r="X753" s="14"/>
      <c r="Y753" s="14"/>
      <c r="Z753" s="14"/>
      <c r="AA753" s="14"/>
    </row>
    <row r="754" spans="1:27" ht="15.75" hidden="1" customHeight="1" x14ac:dyDescent="0.2">
      <c r="A754" s="7" t="s">
        <v>193</v>
      </c>
      <c r="B754" s="7" t="s">
        <v>431</v>
      </c>
      <c r="C754" s="7" t="s">
        <v>513</v>
      </c>
      <c r="D754" s="8" t="s">
        <v>521</v>
      </c>
      <c r="E754" s="9">
        <v>190607</v>
      </c>
      <c r="F754" s="9">
        <v>1055722</v>
      </c>
      <c r="G754" s="9">
        <v>9.5391519999999996</v>
      </c>
      <c r="H754" s="9">
        <v>-83.818081000000006</v>
      </c>
      <c r="I754" s="7">
        <v>2112</v>
      </c>
      <c r="J754" s="7" t="s">
        <v>26</v>
      </c>
      <c r="K754" s="10">
        <v>41445</v>
      </c>
      <c r="L754" s="10">
        <v>41464</v>
      </c>
      <c r="M754" s="11">
        <f t="shared" si="35"/>
        <v>20</v>
      </c>
      <c r="N754" s="11">
        <f t="shared" si="1"/>
        <v>20</v>
      </c>
      <c r="O754" s="8"/>
      <c r="P754" s="8">
        <v>32</v>
      </c>
      <c r="Q754" s="14"/>
      <c r="R754" s="14"/>
      <c r="S754" s="14"/>
      <c r="T754" s="14"/>
      <c r="U754" s="14"/>
      <c r="V754" s="14"/>
      <c r="W754" s="14"/>
      <c r="X754" s="14"/>
      <c r="Y754" s="14"/>
      <c r="Z754" s="14"/>
      <c r="AA754" s="14"/>
    </row>
    <row r="755" spans="1:27" ht="15.75" hidden="1" customHeight="1" x14ac:dyDescent="0.2">
      <c r="A755" s="7" t="s">
        <v>52</v>
      </c>
      <c r="B755" s="7" t="s">
        <v>431</v>
      </c>
      <c r="C755" s="7" t="s">
        <v>513</v>
      </c>
      <c r="D755" s="8" t="s">
        <v>522</v>
      </c>
      <c r="E755" s="9">
        <v>190608</v>
      </c>
      <c r="F755" s="9">
        <v>1055701</v>
      </c>
      <c r="G755" s="9">
        <v>9.5389700000000008</v>
      </c>
      <c r="H755" s="9">
        <v>-83.818070000000006</v>
      </c>
      <c r="I755" s="7">
        <v>2114</v>
      </c>
      <c r="J755" s="7" t="s">
        <v>20</v>
      </c>
      <c r="K755" s="10">
        <v>41081</v>
      </c>
      <c r="L755" s="10">
        <v>41128</v>
      </c>
      <c r="M755" s="11">
        <f t="shared" si="35"/>
        <v>48</v>
      </c>
      <c r="N755" s="11">
        <f t="shared" si="1"/>
        <v>48</v>
      </c>
      <c r="O755" s="8"/>
      <c r="P755" s="8">
        <v>15</v>
      </c>
      <c r="Q755" s="14"/>
      <c r="R755" s="14"/>
      <c r="S755" s="14"/>
      <c r="T755" s="14"/>
      <c r="U755" s="14"/>
      <c r="V755" s="14"/>
      <c r="W755" s="14"/>
      <c r="X755" s="14"/>
      <c r="Y755" s="14"/>
      <c r="Z755" s="14"/>
      <c r="AA755" s="14"/>
    </row>
    <row r="756" spans="1:27" ht="15.75" hidden="1" customHeight="1" x14ac:dyDescent="0.2">
      <c r="A756" s="7" t="s">
        <v>443</v>
      </c>
      <c r="B756" s="7" t="s">
        <v>431</v>
      </c>
      <c r="C756" s="7" t="s">
        <v>513</v>
      </c>
      <c r="D756" s="8" t="s">
        <v>523</v>
      </c>
      <c r="E756" s="9"/>
      <c r="F756" s="9"/>
      <c r="G756" s="9"/>
      <c r="H756" s="9"/>
      <c r="I756" s="7"/>
      <c r="J756" s="7" t="s">
        <v>20</v>
      </c>
      <c r="K756" s="10">
        <v>40714</v>
      </c>
      <c r="L756" s="10">
        <v>40753</v>
      </c>
      <c r="M756" s="11">
        <f t="shared" si="35"/>
        <v>40</v>
      </c>
      <c r="N756" s="11">
        <f t="shared" si="1"/>
        <v>40</v>
      </c>
      <c r="O756" s="8"/>
      <c r="P756" s="8">
        <v>13</v>
      </c>
      <c r="Q756" s="14"/>
      <c r="R756" s="14"/>
      <c r="S756" s="14"/>
      <c r="T756" s="14"/>
      <c r="U756" s="14"/>
      <c r="V756" s="14"/>
      <c r="W756" s="14"/>
      <c r="X756" s="14"/>
      <c r="Y756" s="14"/>
      <c r="Z756" s="14"/>
      <c r="AA756" s="14"/>
    </row>
    <row r="757" spans="1:27" ht="15.75" hidden="1" customHeight="1" x14ac:dyDescent="0.2">
      <c r="A757" s="7" t="s">
        <v>182</v>
      </c>
      <c r="B757" s="7" t="s">
        <v>431</v>
      </c>
      <c r="C757" s="7" t="s">
        <v>524</v>
      </c>
      <c r="D757" s="8" t="s">
        <v>525</v>
      </c>
      <c r="E757" s="9">
        <v>193254</v>
      </c>
      <c r="F757" s="9">
        <v>1058838</v>
      </c>
      <c r="G757" s="9">
        <v>9.5674969999999995</v>
      </c>
      <c r="H757" s="9">
        <v>-83.794220999999993</v>
      </c>
      <c r="I757" s="7">
        <v>2677</v>
      </c>
      <c r="J757" s="7" t="s">
        <v>26</v>
      </c>
      <c r="K757" s="10">
        <v>41818</v>
      </c>
      <c r="L757" s="10">
        <v>41835</v>
      </c>
      <c r="M757" s="11">
        <f t="shared" si="35"/>
        <v>18</v>
      </c>
      <c r="N757" s="11">
        <f t="shared" si="1"/>
        <v>18</v>
      </c>
      <c r="O757" s="8"/>
      <c r="P757" s="8">
        <v>4</v>
      </c>
      <c r="Q757" s="14"/>
      <c r="R757" s="14"/>
      <c r="S757" s="14"/>
      <c r="T757" s="14"/>
      <c r="U757" s="14"/>
      <c r="V757" s="14"/>
      <c r="W757" s="14"/>
      <c r="X757" s="14"/>
      <c r="Y757" s="14"/>
      <c r="Z757" s="14"/>
      <c r="AA757" s="14"/>
    </row>
    <row r="758" spans="1:27" ht="15.75" hidden="1" customHeight="1" x14ac:dyDescent="0.2">
      <c r="A758" s="7" t="s">
        <v>182</v>
      </c>
      <c r="B758" s="7" t="s">
        <v>431</v>
      </c>
      <c r="C758" s="7" t="s">
        <v>524</v>
      </c>
      <c r="D758" s="7" t="s">
        <v>525</v>
      </c>
      <c r="E758" s="7">
        <v>193254</v>
      </c>
      <c r="F758" s="7">
        <v>1058838</v>
      </c>
      <c r="G758" s="7">
        <v>9.5674969999999995</v>
      </c>
      <c r="H758" s="7">
        <v>-83.794220999999993</v>
      </c>
      <c r="I758" s="7">
        <v>2677</v>
      </c>
      <c r="J758" s="7" t="s">
        <v>26</v>
      </c>
      <c r="K758" s="10">
        <v>41818</v>
      </c>
      <c r="L758" s="10">
        <v>41835</v>
      </c>
      <c r="M758" s="18">
        <f t="shared" si="35"/>
        <v>18</v>
      </c>
      <c r="N758" s="11">
        <f t="shared" si="1"/>
        <v>18</v>
      </c>
      <c r="O758" s="8"/>
      <c r="P758" s="7"/>
      <c r="Q758" s="14"/>
      <c r="R758" s="14"/>
      <c r="S758" s="14"/>
      <c r="T758" s="14"/>
      <c r="U758" s="14"/>
      <c r="V758" s="14"/>
      <c r="W758" s="14"/>
      <c r="X758" s="14"/>
      <c r="Y758" s="14"/>
      <c r="Z758" s="14"/>
      <c r="AA758" s="14"/>
    </row>
    <row r="759" spans="1:27" ht="15.75" hidden="1" customHeight="1" x14ac:dyDescent="0.2">
      <c r="A759" s="7" t="s">
        <v>52</v>
      </c>
      <c r="B759" s="7" t="s">
        <v>431</v>
      </c>
      <c r="C759" s="7" t="s">
        <v>524</v>
      </c>
      <c r="D759" s="7" t="s">
        <v>526</v>
      </c>
      <c r="E759" s="7">
        <v>192659</v>
      </c>
      <c r="F759" s="7">
        <v>1056958</v>
      </c>
      <c r="G759" s="7">
        <v>9.5504669999999994</v>
      </c>
      <c r="H759" s="7">
        <v>-83.799499999999995</v>
      </c>
      <c r="I759" s="7">
        <v>2514</v>
      </c>
      <c r="J759" s="7" t="s">
        <v>26</v>
      </c>
      <c r="K759" s="10">
        <v>41082</v>
      </c>
      <c r="L759" s="10">
        <v>41128</v>
      </c>
      <c r="M759" s="18">
        <f t="shared" si="35"/>
        <v>47</v>
      </c>
      <c r="N759" s="11">
        <f t="shared" si="1"/>
        <v>47</v>
      </c>
      <c r="O759" s="8" t="s">
        <v>62</v>
      </c>
      <c r="P759" s="7"/>
      <c r="Q759" s="14"/>
      <c r="R759" s="14"/>
      <c r="S759" s="14"/>
      <c r="T759" s="14"/>
      <c r="U759" s="14"/>
      <c r="V759" s="14"/>
      <c r="W759" s="14"/>
      <c r="X759" s="14"/>
      <c r="Y759" s="14"/>
      <c r="Z759" s="14"/>
      <c r="AA759" s="14"/>
    </row>
    <row r="760" spans="1:27" ht="15.75" hidden="1" customHeight="1" x14ac:dyDescent="0.2">
      <c r="A760" s="7" t="s">
        <v>297</v>
      </c>
      <c r="B760" s="7" t="s">
        <v>431</v>
      </c>
      <c r="C760" s="7" t="s">
        <v>524</v>
      </c>
      <c r="D760" s="8" t="s">
        <v>527</v>
      </c>
      <c r="E760" s="9">
        <v>193300</v>
      </c>
      <c r="F760" s="9">
        <v>1058849</v>
      </c>
      <c r="G760" s="9">
        <v>9.5676000000000005</v>
      </c>
      <c r="H760" s="9">
        <v>-83.793800000000005</v>
      </c>
      <c r="I760" s="7">
        <v>2660</v>
      </c>
      <c r="J760" s="7" t="s">
        <v>26</v>
      </c>
      <c r="K760" s="10">
        <v>43277</v>
      </c>
      <c r="L760" s="10">
        <v>43302</v>
      </c>
      <c r="M760" s="11">
        <f t="shared" si="35"/>
        <v>26</v>
      </c>
      <c r="N760" s="11">
        <f t="shared" si="1"/>
        <v>26</v>
      </c>
      <c r="O760" s="8"/>
      <c r="P760" s="8" t="s">
        <v>527</v>
      </c>
      <c r="Q760" s="14"/>
      <c r="R760" s="14"/>
      <c r="S760" s="14"/>
      <c r="T760" s="14"/>
      <c r="U760" s="14"/>
      <c r="V760" s="14"/>
      <c r="W760" s="14"/>
      <c r="X760" s="14"/>
      <c r="Y760" s="14"/>
      <c r="Z760" s="14"/>
      <c r="AA760" s="14"/>
    </row>
    <row r="761" spans="1:27" ht="15.75" hidden="1" customHeight="1" x14ac:dyDescent="0.2">
      <c r="A761" s="20" t="s">
        <v>297</v>
      </c>
      <c r="B761" s="20" t="s">
        <v>431</v>
      </c>
      <c r="C761" s="20" t="s">
        <v>524</v>
      </c>
      <c r="D761" s="21" t="s">
        <v>527</v>
      </c>
      <c r="E761" s="22">
        <v>193300</v>
      </c>
      <c r="F761" s="22">
        <v>1058849</v>
      </c>
      <c r="G761" s="22">
        <v>9.5676000000000005</v>
      </c>
      <c r="H761" s="22">
        <v>-83.793800000000005</v>
      </c>
      <c r="I761" s="20">
        <v>2660</v>
      </c>
      <c r="J761" s="20" t="s">
        <v>26</v>
      </c>
      <c r="K761" s="23"/>
      <c r="L761" s="23"/>
      <c r="M761" s="24">
        <f t="shared" si="35"/>
        <v>0</v>
      </c>
      <c r="N761" s="11">
        <f t="shared" si="1"/>
        <v>0</v>
      </c>
      <c r="O761" s="25"/>
      <c r="P761" s="21" t="s">
        <v>527</v>
      </c>
    </row>
    <row r="762" spans="1:27" ht="15.75" hidden="1" customHeight="1" x14ac:dyDescent="0.2">
      <c r="A762" s="14" t="s">
        <v>444</v>
      </c>
      <c r="B762" s="14" t="s">
        <v>431</v>
      </c>
      <c r="C762" s="14" t="s">
        <v>524</v>
      </c>
      <c r="D762" s="15" t="s">
        <v>527</v>
      </c>
      <c r="E762" s="16">
        <v>193300</v>
      </c>
      <c r="F762" s="16">
        <v>1058849</v>
      </c>
      <c r="G762" s="16">
        <v>9.5676000000000005</v>
      </c>
      <c r="H762" s="16">
        <v>-83.793800000000005</v>
      </c>
      <c r="I762" s="14">
        <v>2660</v>
      </c>
      <c r="J762" s="14" t="s">
        <v>26</v>
      </c>
      <c r="K762" s="17">
        <v>43629</v>
      </c>
      <c r="L762" s="17">
        <v>43649</v>
      </c>
      <c r="M762" s="18">
        <f t="shared" si="35"/>
        <v>21</v>
      </c>
      <c r="N762" s="11">
        <f t="shared" si="1"/>
        <v>21</v>
      </c>
      <c r="O762" s="15" t="s">
        <v>528</v>
      </c>
      <c r="P762" s="15" t="s">
        <v>527</v>
      </c>
    </row>
    <row r="763" spans="1:27" ht="15.75" hidden="1" customHeight="1" x14ac:dyDescent="0.2">
      <c r="A763" s="7" t="s">
        <v>297</v>
      </c>
      <c r="B763" s="7" t="s">
        <v>431</v>
      </c>
      <c r="C763" s="7" t="s">
        <v>524</v>
      </c>
      <c r="D763" s="8" t="s">
        <v>529</v>
      </c>
      <c r="E763" s="9">
        <v>194120</v>
      </c>
      <c r="F763" s="9">
        <v>1058399</v>
      </c>
      <c r="G763" s="9">
        <v>9.5635999999999992</v>
      </c>
      <c r="H763" s="9">
        <v>-83.786299999999997</v>
      </c>
      <c r="I763" s="7">
        <v>2849</v>
      </c>
      <c r="J763" s="7" t="s">
        <v>26</v>
      </c>
      <c r="K763" s="10">
        <v>43277</v>
      </c>
      <c r="L763" s="10">
        <v>43290</v>
      </c>
      <c r="M763" s="11">
        <f t="shared" si="35"/>
        <v>14</v>
      </c>
      <c r="N763" s="11">
        <f t="shared" si="1"/>
        <v>14</v>
      </c>
      <c r="O763" s="8"/>
      <c r="P763" s="8" t="s">
        <v>529</v>
      </c>
    </row>
    <row r="764" spans="1:27" ht="15.75" hidden="1" customHeight="1" x14ac:dyDescent="0.2">
      <c r="A764" s="20" t="s">
        <v>297</v>
      </c>
      <c r="B764" s="20" t="s">
        <v>431</v>
      </c>
      <c r="C764" s="20" t="s">
        <v>524</v>
      </c>
      <c r="D764" s="21" t="s">
        <v>529</v>
      </c>
      <c r="E764" s="22">
        <v>194120</v>
      </c>
      <c r="F764" s="22">
        <v>1058399</v>
      </c>
      <c r="G764" s="22">
        <v>9.5635999999999992</v>
      </c>
      <c r="H764" s="22">
        <v>-83.786299999999997</v>
      </c>
      <c r="I764" s="20">
        <v>2849</v>
      </c>
      <c r="J764" s="20" t="s">
        <v>26</v>
      </c>
      <c r="K764" s="23"/>
      <c r="L764" s="23"/>
      <c r="M764" s="24">
        <f t="shared" si="35"/>
        <v>0</v>
      </c>
      <c r="N764" s="11">
        <f t="shared" si="1"/>
        <v>0</v>
      </c>
      <c r="O764" s="25"/>
      <c r="P764" s="21" t="s">
        <v>529</v>
      </c>
    </row>
    <row r="765" spans="1:27" ht="15.75" hidden="1" customHeight="1" x14ac:dyDescent="0.2">
      <c r="A765" s="14" t="s">
        <v>444</v>
      </c>
      <c r="B765" s="14" t="s">
        <v>431</v>
      </c>
      <c r="C765" s="14" t="s">
        <v>524</v>
      </c>
      <c r="D765" s="15" t="s">
        <v>529</v>
      </c>
      <c r="E765" s="16">
        <v>194120</v>
      </c>
      <c r="F765" s="16">
        <v>1058399</v>
      </c>
      <c r="G765" s="16">
        <v>9.5635999999999992</v>
      </c>
      <c r="H765" s="16">
        <v>-83.786299999999997</v>
      </c>
      <c r="I765" s="14">
        <v>2849</v>
      </c>
      <c r="J765" s="14" t="s">
        <v>26</v>
      </c>
      <c r="K765" s="17">
        <v>43629</v>
      </c>
      <c r="L765" s="17">
        <v>43649</v>
      </c>
      <c r="M765" s="18">
        <f t="shared" si="35"/>
        <v>21</v>
      </c>
      <c r="N765" s="11">
        <f t="shared" si="1"/>
        <v>21</v>
      </c>
      <c r="O765" s="15" t="s">
        <v>530</v>
      </c>
      <c r="P765" s="15" t="s">
        <v>529</v>
      </c>
    </row>
    <row r="766" spans="1:27" ht="15.75" hidden="1" customHeight="1" x14ac:dyDescent="0.2">
      <c r="A766" s="7" t="s">
        <v>182</v>
      </c>
      <c r="B766" s="7" t="s">
        <v>431</v>
      </c>
      <c r="C766" s="7" t="s">
        <v>524</v>
      </c>
      <c r="D766" s="8" t="s">
        <v>531</v>
      </c>
      <c r="E766" s="9">
        <v>195212</v>
      </c>
      <c r="F766" s="9">
        <v>1057441</v>
      </c>
      <c r="G766" s="9">
        <v>9.5550189999999997</v>
      </c>
      <c r="H766" s="9">
        <v>-83.776297</v>
      </c>
      <c r="I766" s="7">
        <v>3012</v>
      </c>
      <c r="J766" s="7" t="s">
        <v>26</v>
      </c>
      <c r="K766" s="10">
        <v>41842</v>
      </c>
      <c r="L766" s="10">
        <v>41842</v>
      </c>
      <c r="M766" s="11">
        <f t="shared" si="35"/>
        <v>1</v>
      </c>
      <c r="N766" s="11">
        <f t="shared" si="1"/>
        <v>1</v>
      </c>
      <c r="O766" s="8"/>
      <c r="P766" s="8">
        <v>24</v>
      </c>
    </row>
    <row r="767" spans="1:27" ht="15.75" hidden="1" customHeight="1" x14ac:dyDescent="0.2">
      <c r="A767" s="7" t="s">
        <v>133</v>
      </c>
      <c r="B767" s="7" t="s">
        <v>431</v>
      </c>
      <c r="C767" s="7" t="s">
        <v>524</v>
      </c>
      <c r="D767" s="8" t="s">
        <v>531</v>
      </c>
      <c r="E767" s="9">
        <v>195212</v>
      </c>
      <c r="F767" s="9">
        <v>1057441</v>
      </c>
      <c r="G767" s="9">
        <v>9.5549999999999997</v>
      </c>
      <c r="H767" s="9">
        <v>-83.776300000000006</v>
      </c>
      <c r="I767" s="7">
        <v>3012</v>
      </c>
      <c r="J767" s="7" t="s">
        <v>26</v>
      </c>
      <c r="K767" s="10">
        <v>42159</v>
      </c>
      <c r="L767" s="10">
        <v>42173</v>
      </c>
      <c r="M767" s="11">
        <f t="shared" si="35"/>
        <v>15</v>
      </c>
      <c r="N767" s="11">
        <f t="shared" si="1"/>
        <v>15</v>
      </c>
      <c r="O767" s="8"/>
      <c r="P767" s="8">
        <v>24</v>
      </c>
    </row>
    <row r="768" spans="1:27" ht="15.75" hidden="1" customHeight="1" x14ac:dyDescent="0.2">
      <c r="A768" s="7" t="s">
        <v>134</v>
      </c>
      <c r="B768" s="7" t="s">
        <v>431</v>
      </c>
      <c r="C768" s="7" t="s">
        <v>524</v>
      </c>
      <c r="D768" s="8" t="s">
        <v>531</v>
      </c>
      <c r="E768" s="9">
        <v>195212</v>
      </c>
      <c r="F768" s="9">
        <v>1057441</v>
      </c>
      <c r="G768" s="9">
        <v>9.5550189999999997</v>
      </c>
      <c r="H768" s="9">
        <v>-83.776297</v>
      </c>
      <c r="I768" s="7">
        <v>3012</v>
      </c>
      <c r="J768" s="7" t="s">
        <v>26</v>
      </c>
      <c r="K768" s="7"/>
      <c r="L768" s="7"/>
      <c r="M768" s="11">
        <f t="shared" si="35"/>
        <v>0</v>
      </c>
      <c r="N768" s="11">
        <f t="shared" si="1"/>
        <v>0</v>
      </c>
      <c r="O768" s="8"/>
      <c r="P768" s="8">
        <v>24</v>
      </c>
    </row>
    <row r="769" spans="1:27" ht="15.75" hidden="1" customHeight="1" x14ac:dyDescent="0.2">
      <c r="A769" s="7" t="s">
        <v>186</v>
      </c>
      <c r="B769" s="7" t="s">
        <v>431</v>
      </c>
      <c r="C769" s="7" t="s">
        <v>524</v>
      </c>
      <c r="D769" s="8" t="s">
        <v>531</v>
      </c>
      <c r="E769" s="9">
        <v>195212</v>
      </c>
      <c r="F769" s="9">
        <v>1057441</v>
      </c>
      <c r="G769" s="9">
        <v>9.5549979999999994</v>
      </c>
      <c r="H769" s="9">
        <v>-83.776297</v>
      </c>
      <c r="I769" s="7">
        <v>3012</v>
      </c>
      <c r="J769" s="7" t="s">
        <v>26</v>
      </c>
      <c r="K769" s="10">
        <v>42866</v>
      </c>
      <c r="L769" s="10">
        <v>42893</v>
      </c>
      <c r="M769" s="11">
        <f t="shared" si="35"/>
        <v>28</v>
      </c>
      <c r="N769" s="11">
        <f t="shared" si="1"/>
        <v>28</v>
      </c>
      <c r="O769" s="8"/>
      <c r="P769" s="8">
        <v>24</v>
      </c>
    </row>
    <row r="770" spans="1:27" ht="15.75" hidden="1" customHeight="1" x14ac:dyDescent="0.2">
      <c r="A770" s="20" t="s">
        <v>186</v>
      </c>
      <c r="B770" s="20" t="s">
        <v>431</v>
      </c>
      <c r="C770" s="20" t="s">
        <v>524</v>
      </c>
      <c r="D770" s="8" t="s">
        <v>531</v>
      </c>
      <c r="E770" s="22">
        <v>195212</v>
      </c>
      <c r="F770" s="22">
        <v>1057441</v>
      </c>
      <c r="G770" s="22">
        <v>9.5549979999999994</v>
      </c>
      <c r="H770" s="22">
        <v>-83.776297</v>
      </c>
      <c r="I770" s="20">
        <v>3012</v>
      </c>
      <c r="J770" s="20" t="s">
        <v>26</v>
      </c>
      <c r="K770" s="23"/>
      <c r="L770" s="23"/>
      <c r="M770" s="24">
        <f t="shared" si="35"/>
        <v>0</v>
      </c>
      <c r="N770" s="11">
        <f t="shared" si="1"/>
        <v>0</v>
      </c>
      <c r="O770" s="25"/>
      <c r="P770" s="21">
        <v>24</v>
      </c>
    </row>
    <row r="771" spans="1:27" ht="15.75" hidden="1" customHeight="1" x14ac:dyDescent="0.2">
      <c r="A771" s="19" t="s">
        <v>297</v>
      </c>
      <c r="B771" s="19" t="s">
        <v>431</v>
      </c>
      <c r="C771" s="7" t="s">
        <v>524</v>
      </c>
      <c r="D771" s="8" t="s">
        <v>531</v>
      </c>
      <c r="E771" s="9">
        <v>195211</v>
      </c>
      <c r="F771" s="9">
        <v>1057438</v>
      </c>
      <c r="G771" s="9">
        <v>9.5549999999999997</v>
      </c>
      <c r="H771" s="9">
        <v>-83.776300000000006</v>
      </c>
      <c r="I771" s="19">
        <v>3012</v>
      </c>
      <c r="J771" s="19" t="s">
        <v>26</v>
      </c>
      <c r="K771" s="10">
        <v>43277</v>
      </c>
      <c r="L771" s="10">
        <v>43302</v>
      </c>
      <c r="M771" s="11">
        <f t="shared" si="35"/>
        <v>26</v>
      </c>
      <c r="N771" s="11">
        <f t="shared" si="1"/>
        <v>26</v>
      </c>
      <c r="O771" s="8"/>
      <c r="P771" s="8" t="s">
        <v>531</v>
      </c>
    </row>
    <row r="772" spans="1:27" ht="15.75" hidden="1" customHeight="1" x14ac:dyDescent="0.2">
      <c r="A772" s="20" t="s">
        <v>297</v>
      </c>
      <c r="B772" s="20" t="s">
        <v>431</v>
      </c>
      <c r="C772" s="20" t="s">
        <v>524</v>
      </c>
      <c r="D772" s="21" t="s">
        <v>531</v>
      </c>
      <c r="E772" s="22">
        <v>195211</v>
      </c>
      <c r="F772" s="22">
        <v>1057438</v>
      </c>
      <c r="G772" s="22">
        <v>9.5549999999999997</v>
      </c>
      <c r="H772" s="22">
        <v>-83.776300000000006</v>
      </c>
      <c r="I772" s="20">
        <v>3012</v>
      </c>
      <c r="J772" s="20" t="s">
        <v>26</v>
      </c>
      <c r="K772" s="23"/>
      <c r="L772" s="23"/>
      <c r="M772" s="24">
        <f t="shared" si="35"/>
        <v>0</v>
      </c>
      <c r="N772" s="11">
        <f t="shared" si="1"/>
        <v>0</v>
      </c>
      <c r="O772" s="25"/>
      <c r="P772" s="21" t="s">
        <v>531</v>
      </c>
      <c r="Q772" s="7"/>
      <c r="R772" s="7"/>
      <c r="S772" s="7"/>
      <c r="T772" s="7"/>
      <c r="U772" s="7"/>
      <c r="V772" s="7"/>
      <c r="W772" s="7"/>
      <c r="X772" s="7"/>
      <c r="Y772" s="7"/>
      <c r="Z772" s="7"/>
      <c r="AA772" s="7"/>
    </row>
    <row r="773" spans="1:27" ht="15.75" hidden="1" customHeight="1" x14ac:dyDescent="0.2">
      <c r="A773" s="14" t="s">
        <v>444</v>
      </c>
      <c r="B773" s="14" t="s">
        <v>431</v>
      </c>
      <c r="C773" s="14" t="s">
        <v>524</v>
      </c>
      <c r="D773" s="15" t="s">
        <v>531</v>
      </c>
      <c r="E773" s="16">
        <v>195211</v>
      </c>
      <c r="F773" s="16">
        <v>1057438</v>
      </c>
      <c r="G773" s="16">
        <v>9.5549999999999997</v>
      </c>
      <c r="H773" s="16">
        <v>-83.776300000000006</v>
      </c>
      <c r="I773" s="14">
        <v>3012</v>
      </c>
      <c r="J773" s="14" t="s">
        <v>26</v>
      </c>
      <c r="K773" s="17">
        <v>43629</v>
      </c>
      <c r="L773" s="17">
        <v>43649</v>
      </c>
      <c r="M773" s="18">
        <f t="shared" si="35"/>
        <v>21</v>
      </c>
      <c r="N773" s="11">
        <f t="shared" si="1"/>
        <v>21</v>
      </c>
      <c r="O773" s="15" t="s">
        <v>532</v>
      </c>
      <c r="P773" s="15" t="s">
        <v>531</v>
      </c>
      <c r="Q773" s="7"/>
      <c r="R773" s="7"/>
      <c r="S773" s="7"/>
      <c r="T773" s="7"/>
      <c r="U773" s="7"/>
      <c r="V773" s="7"/>
      <c r="W773" s="7"/>
      <c r="X773" s="7"/>
      <c r="Y773" s="7"/>
      <c r="Z773" s="7"/>
      <c r="AA773" s="7"/>
    </row>
    <row r="774" spans="1:27" ht="15.75" hidden="1" customHeight="1" x14ac:dyDescent="0.2">
      <c r="A774" s="7" t="s">
        <v>297</v>
      </c>
      <c r="B774" s="7" t="s">
        <v>431</v>
      </c>
      <c r="C774" s="7" t="s">
        <v>524</v>
      </c>
      <c r="D774" s="8" t="s">
        <v>533</v>
      </c>
      <c r="E774" s="9">
        <v>195039</v>
      </c>
      <c r="F774" s="9">
        <v>1057871</v>
      </c>
      <c r="G774" s="9">
        <v>9.5588999999999995</v>
      </c>
      <c r="H774" s="9">
        <v>-83.777900000000002</v>
      </c>
      <c r="I774" s="7">
        <v>3002</v>
      </c>
      <c r="J774" s="7" t="s">
        <v>26</v>
      </c>
      <c r="K774" s="10">
        <v>43277</v>
      </c>
      <c r="L774" s="10">
        <v>43302</v>
      </c>
      <c r="M774" s="11">
        <f t="shared" si="35"/>
        <v>26</v>
      </c>
      <c r="N774" s="11">
        <f t="shared" si="1"/>
        <v>26</v>
      </c>
      <c r="O774" s="8"/>
      <c r="P774" s="8" t="s">
        <v>533</v>
      </c>
      <c r="Q774" s="7"/>
      <c r="R774" s="7"/>
      <c r="S774" s="7"/>
      <c r="T774" s="7"/>
      <c r="U774" s="7"/>
      <c r="V774" s="7"/>
      <c r="W774" s="7"/>
      <c r="X774" s="7"/>
      <c r="Y774" s="7"/>
      <c r="Z774" s="7"/>
      <c r="AA774" s="7"/>
    </row>
    <row r="775" spans="1:27" ht="15.75" hidden="1" customHeight="1" x14ac:dyDescent="0.2">
      <c r="A775" s="20" t="s">
        <v>297</v>
      </c>
      <c r="B775" s="20" t="s">
        <v>431</v>
      </c>
      <c r="C775" s="20" t="s">
        <v>524</v>
      </c>
      <c r="D775" s="21" t="s">
        <v>533</v>
      </c>
      <c r="E775" s="22">
        <v>195039</v>
      </c>
      <c r="F775" s="22">
        <v>1057871</v>
      </c>
      <c r="G775" s="22">
        <v>9.5588999999999995</v>
      </c>
      <c r="H775" s="22">
        <v>-83.777900000000002</v>
      </c>
      <c r="I775" s="20">
        <v>3002</v>
      </c>
      <c r="J775" s="20" t="s">
        <v>26</v>
      </c>
      <c r="K775" s="23"/>
      <c r="L775" s="23"/>
      <c r="M775" s="24">
        <f t="shared" si="35"/>
        <v>0</v>
      </c>
      <c r="N775" s="11">
        <f t="shared" si="1"/>
        <v>0</v>
      </c>
      <c r="O775" s="25"/>
      <c r="P775" s="21" t="s">
        <v>533</v>
      </c>
      <c r="Q775" s="7"/>
      <c r="R775" s="7"/>
      <c r="S775" s="7"/>
      <c r="T775" s="7"/>
      <c r="U775" s="7"/>
      <c r="V775" s="7"/>
      <c r="W775" s="7"/>
      <c r="X775" s="7"/>
      <c r="Y775" s="7"/>
      <c r="Z775" s="7"/>
      <c r="AA775" s="7"/>
    </row>
    <row r="776" spans="1:27" ht="15.75" hidden="1" customHeight="1" x14ac:dyDescent="0.2">
      <c r="A776" s="14" t="s">
        <v>444</v>
      </c>
      <c r="B776" s="14" t="s">
        <v>431</v>
      </c>
      <c r="C776" s="14" t="s">
        <v>524</v>
      </c>
      <c r="D776" s="15" t="s">
        <v>533</v>
      </c>
      <c r="E776" s="16">
        <v>195039</v>
      </c>
      <c r="F776" s="16">
        <v>1057871</v>
      </c>
      <c r="G776" s="16">
        <v>9.5588999999999995</v>
      </c>
      <c r="H776" s="16">
        <v>-83.777900000000002</v>
      </c>
      <c r="I776" s="14">
        <v>3002</v>
      </c>
      <c r="J776" s="14" t="s">
        <v>26</v>
      </c>
      <c r="K776" s="17">
        <v>43629</v>
      </c>
      <c r="L776" s="17">
        <v>43649</v>
      </c>
      <c r="M776" s="18">
        <f t="shared" si="35"/>
        <v>21</v>
      </c>
      <c r="N776" s="11">
        <f t="shared" si="1"/>
        <v>21</v>
      </c>
      <c r="O776" s="15" t="s">
        <v>534</v>
      </c>
      <c r="P776" s="15" t="s">
        <v>533</v>
      </c>
      <c r="Q776" s="7"/>
      <c r="R776" s="7"/>
      <c r="S776" s="7"/>
      <c r="T776" s="7"/>
      <c r="U776" s="7"/>
      <c r="V776" s="7"/>
      <c r="W776" s="7"/>
      <c r="X776" s="7"/>
      <c r="Y776" s="7"/>
      <c r="Z776" s="7"/>
      <c r="AA776" s="7"/>
    </row>
    <row r="777" spans="1:27" ht="15.75" hidden="1" customHeight="1" x14ac:dyDescent="0.2">
      <c r="A777" s="7" t="s">
        <v>193</v>
      </c>
      <c r="B777" s="7" t="s">
        <v>431</v>
      </c>
      <c r="C777" s="7" t="s">
        <v>524</v>
      </c>
      <c r="D777" s="8" t="s">
        <v>535</v>
      </c>
      <c r="E777" s="9">
        <v>193242</v>
      </c>
      <c r="F777" s="9">
        <v>1058862</v>
      </c>
      <c r="G777" s="9">
        <v>9.5677129999999995</v>
      </c>
      <c r="H777" s="9">
        <v>-83.794331999999997</v>
      </c>
      <c r="I777" s="7">
        <v>2648</v>
      </c>
      <c r="J777" s="7" t="s">
        <v>26</v>
      </c>
      <c r="K777" s="10">
        <v>41477</v>
      </c>
      <c r="L777" s="10">
        <v>41477</v>
      </c>
      <c r="M777" s="11">
        <f t="shared" si="35"/>
        <v>1</v>
      </c>
      <c r="N777" s="11">
        <f t="shared" si="1"/>
        <v>1</v>
      </c>
      <c r="O777" s="8"/>
      <c r="P777" s="8">
        <v>20</v>
      </c>
      <c r="Q777" s="7"/>
      <c r="R777" s="7"/>
      <c r="S777" s="7"/>
      <c r="T777" s="7"/>
      <c r="U777" s="7"/>
      <c r="V777" s="7"/>
      <c r="W777" s="7"/>
      <c r="X777" s="7"/>
      <c r="Y777" s="7"/>
      <c r="Z777" s="7"/>
      <c r="AA777" s="7"/>
    </row>
    <row r="778" spans="1:27" ht="15.75" hidden="1" customHeight="1" x14ac:dyDescent="0.2">
      <c r="A778" s="7" t="s">
        <v>52</v>
      </c>
      <c r="B778" s="7" t="s">
        <v>431</v>
      </c>
      <c r="C778" s="7" t="s">
        <v>536</v>
      </c>
      <c r="D778" s="7" t="s">
        <v>537</v>
      </c>
      <c r="E778" s="7">
        <v>193536</v>
      </c>
      <c r="F778" s="7">
        <v>1056746</v>
      </c>
      <c r="G778" s="7">
        <v>9.5511999999999997</v>
      </c>
      <c r="H778" s="7">
        <v>-83.790599999999998</v>
      </c>
      <c r="I778" s="7">
        <v>2626</v>
      </c>
      <c r="J778" s="7" t="s">
        <v>26</v>
      </c>
      <c r="K778" s="10">
        <v>41082</v>
      </c>
      <c r="L778" s="10">
        <v>41128</v>
      </c>
      <c r="M778" s="11">
        <f t="shared" si="35"/>
        <v>47</v>
      </c>
      <c r="N778" s="11">
        <f t="shared" si="1"/>
        <v>47</v>
      </c>
      <c r="O778" s="7"/>
      <c r="P778" s="8">
        <v>2</v>
      </c>
      <c r="Q778" s="7"/>
      <c r="R778" s="7"/>
      <c r="S778" s="7"/>
      <c r="T778" s="7"/>
      <c r="U778" s="7"/>
      <c r="V778" s="7"/>
      <c r="W778" s="7"/>
      <c r="X778" s="7"/>
      <c r="Y778" s="7"/>
      <c r="Z778" s="7"/>
      <c r="AA778" s="7"/>
    </row>
    <row r="779" spans="1:27" ht="15.75" hidden="1" customHeight="1" x14ac:dyDescent="0.2">
      <c r="A779" s="7" t="s">
        <v>443</v>
      </c>
      <c r="B779" s="7" t="s">
        <v>431</v>
      </c>
      <c r="C779" s="7" t="s">
        <v>524</v>
      </c>
      <c r="D779" s="8" t="s">
        <v>538</v>
      </c>
      <c r="E779" s="9"/>
      <c r="F779" s="9"/>
      <c r="G779" s="9"/>
      <c r="H779" s="9"/>
      <c r="I779" s="7"/>
      <c r="J779" s="7" t="s">
        <v>26</v>
      </c>
      <c r="K779" s="10">
        <v>40710</v>
      </c>
      <c r="L779" s="10">
        <v>40760</v>
      </c>
      <c r="M779" s="11">
        <v>9</v>
      </c>
      <c r="N779" s="11">
        <f t="shared" si="1"/>
        <v>51</v>
      </c>
      <c r="O779" s="8"/>
      <c r="P779" s="8">
        <v>18</v>
      </c>
      <c r="Q779" s="7"/>
      <c r="R779" s="7"/>
      <c r="S779" s="7"/>
      <c r="T779" s="7"/>
      <c r="U779" s="7"/>
      <c r="V779" s="7"/>
      <c r="W779" s="7"/>
      <c r="X779" s="7"/>
      <c r="Y779" s="7"/>
      <c r="Z779" s="7"/>
      <c r="AA779" s="7"/>
    </row>
    <row r="780" spans="1:27" ht="15.75" hidden="1" customHeight="1" x14ac:dyDescent="0.2">
      <c r="A780" s="7" t="s">
        <v>443</v>
      </c>
      <c r="B780" s="7" t="s">
        <v>431</v>
      </c>
      <c r="C780" s="7" t="s">
        <v>524</v>
      </c>
      <c r="D780" s="8" t="s">
        <v>539</v>
      </c>
      <c r="E780" s="9"/>
      <c r="F780" s="9"/>
      <c r="G780" s="9"/>
      <c r="H780" s="9"/>
      <c r="I780" s="7"/>
      <c r="J780" s="7" t="s">
        <v>26</v>
      </c>
      <c r="K780" s="10">
        <v>40713</v>
      </c>
      <c r="L780" s="10">
        <v>40743</v>
      </c>
      <c r="M780" s="11">
        <v>27</v>
      </c>
      <c r="N780" s="11">
        <f t="shared" si="1"/>
        <v>31</v>
      </c>
      <c r="O780" s="8"/>
      <c r="P780" s="8">
        <v>17</v>
      </c>
      <c r="Q780" s="7"/>
      <c r="R780" s="7"/>
      <c r="S780" s="7"/>
      <c r="T780" s="7"/>
      <c r="U780" s="7"/>
      <c r="V780" s="7"/>
      <c r="W780" s="7"/>
      <c r="X780" s="7"/>
      <c r="Y780" s="7"/>
      <c r="Z780" s="7"/>
      <c r="AA780" s="7"/>
    </row>
    <row r="781" spans="1:27" ht="15.75" hidden="1" customHeight="1" x14ac:dyDescent="0.2">
      <c r="A781" s="7" t="s">
        <v>443</v>
      </c>
      <c r="B781" s="7" t="s">
        <v>431</v>
      </c>
      <c r="C781" s="7" t="s">
        <v>524</v>
      </c>
      <c r="D781" s="8" t="s">
        <v>540</v>
      </c>
      <c r="E781" s="9"/>
      <c r="F781" s="9"/>
      <c r="G781" s="9"/>
      <c r="H781" s="9"/>
      <c r="I781" s="7"/>
      <c r="J781" s="7" t="s">
        <v>26</v>
      </c>
      <c r="K781" s="10">
        <v>40710</v>
      </c>
      <c r="L781" s="10">
        <v>40760</v>
      </c>
      <c r="M781" s="11">
        <v>39</v>
      </c>
      <c r="N781" s="11">
        <f t="shared" si="1"/>
        <v>51</v>
      </c>
      <c r="O781" s="8"/>
      <c r="P781" s="8">
        <v>16</v>
      </c>
      <c r="Q781" s="7"/>
      <c r="R781" s="7"/>
      <c r="S781" s="7"/>
      <c r="T781" s="7"/>
      <c r="U781" s="7"/>
      <c r="V781" s="7"/>
      <c r="W781" s="7"/>
      <c r="X781" s="7"/>
      <c r="Y781" s="7"/>
      <c r="Z781" s="7"/>
      <c r="AA781" s="7"/>
    </row>
    <row r="782" spans="1:27" ht="15.75" hidden="1" customHeight="1" x14ac:dyDescent="0.2">
      <c r="A782" s="7" t="s">
        <v>193</v>
      </c>
      <c r="B782" s="7" t="s">
        <v>431</v>
      </c>
      <c r="C782" s="7" t="s">
        <v>524</v>
      </c>
      <c r="D782" s="8" t="s">
        <v>541</v>
      </c>
      <c r="E782" s="9">
        <v>194386</v>
      </c>
      <c r="F782" s="9">
        <v>1058362</v>
      </c>
      <c r="G782" s="9">
        <v>9.5632789999999996</v>
      </c>
      <c r="H782" s="9">
        <v>-83.783883000000003</v>
      </c>
      <c r="I782" s="7">
        <v>2901</v>
      </c>
      <c r="J782" s="7" t="s">
        <v>26</v>
      </c>
      <c r="K782" s="10">
        <v>41477</v>
      </c>
      <c r="L782" s="10">
        <v>41480</v>
      </c>
      <c r="M782" s="11">
        <f t="shared" ref="M782:M787" si="36">IF(ISBLANK(K782),0,IF(ISBLANK(L782),0,L782-K782+1))</f>
        <v>4</v>
      </c>
      <c r="N782" s="11">
        <f t="shared" si="1"/>
        <v>4</v>
      </c>
      <c r="O782" s="8"/>
      <c r="P782" s="8">
        <v>13</v>
      </c>
      <c r="Q782" s="7"/>
      <c r="R782" s="7"/>
      <c r="S782" s="7"/>
      <c r="T782" s="7"/>
      <c r="U782" s="7"/>
      <c r="V782" s="7"/>
      <c r="W782" s="7"/>
      <c r="X782" s="7"/>
      <c r="Y782" s="7"/>
      <c r="Z782" s="7"/>
      <c r="AA782" s="7"/>
    </row>
    <row r="783" spans="1:27" ht="15.75" hidden="1" customHeight="1" x14ac:dyDescent="0.2">
      <c r="A783" s="19" t="s">
        <v>133</v>
      </c>
      <c r="B783" s="19" t="s">
        <v>431</v>
      </c>
      <c r="C783" s="19" t="s">
        <v>524</v>
      </c>
      <c r="D783" s="8" t="s">
        <v>541</v>
      </c>
      <c r="E783" s="9">
        <v>194386</v>
      </c>
      <c r="F783" s="9">
        <v>1058362</v>
      </c>
      <c r="G783" s="9">
        <v>9.5632789999999996</v>
      </c>
      <c r="H783" s="9">
        <v>-83.783882579999997</v>
      </c>
      <c r="I783" s="19">
        <v>2901</v>
      </c>
      <c r="J783" s="19" t="s">
        <v>26</v>
      </c>
      <c r="K783" s="10">
        <v>42158</v>
      </c>
      <c r="L783" s="10">
        <v>42172</v>
      </c>
      <c r="M783" s="11">
        <f t="shared" si="36"/>
        <v>15</v>
      </c>
      <c r="N783" s="11">
        <f t="shared" si="1"/>
        <v>15</v>
      </c>
      <c r="O783" s="8"/>
      <c r="P783" s="8">
        <v>13</v>
      </c>
    </row>
    <row r="784" spans="1:27" ht="15.75" hidden="1" customHeight="1" x14ac:dyDescent="0.2">
      <c r="A784" s="7" t="s">
        <v>133</v>
      </c>
      <c r="B784" s="7" t="s">
        <v>431</v>
      </c>
      <c r="C784" s="7" t="s">
        <v>524</v>
      </c>
      <c r="D784" s="8" t="s">
        <v>541</v>
      </c>
      <c r="E784" s="9">
        <v>194386</v>
      </c>
      <c r="F784" s="9">
        <v>1058362</v>
      </c>
      <c r="G784" s="9">
        <v>9.5632789999999996</v>
      </c>
      <c r="H784" s="9">
        <v>83.783883000000003</v>
      </c>
      <c r="I784" s="7">
        <v>2901</v>
      </c>
      <c r="J784" s="7" t="s">
        <v>26</v>
      </c>
      <c r="K784" s="10">
        <v>42158</v>
      </c>
      <c r="L784" s="10">
        <v>42172</v>
      </c>
      <c r="M784" s="11">
        <f t="shared" si="36"/>
        <v>15</v>
      </c>
      <c r="N784" s="11">
        <f t="shared" si="1"/>
        <v>15</v>
      </c>
      <c r="O784" s="8"/>
      <c r="P784" s="8">
        <v>13</v>
      </c>
      <c r="Q784" s="7"/>
      <c r="R784" s="7"/>
      <c r="S784" s="7"/>
      <c r="T784" s="7"/>
      <c r="U784" s="7"/>
      <c r="V784" s="7"/>
      <c r="W784" s="7"/>
      <c r="X784" s="7"/>
      <c r="Y784" s="7"/>
      <c r="Z784" s="7"/>
      <c r="AA784" s="7"/>
    </row>
    <row r="785" spans="1:27" ht="15.75" hidden="1" customHeight="1" x14ac:dyDescent="0.2">
      <c r="A785" s="7" t="s">
        <v>134</v>
      </c>
      <c r="B785" s="7" t="s">
        <v>431</v>
      </c>
      <c r="C785" s="7" t="s">
        <v>524</v>
      </c>
      <c r="D785" s="8" t="s">
        <v>541</v>
      </c>
      <c r="E785" s="9">
        <v>194386</v>
      </c>
      <c r="F785" s="9">
        <v>1058362</v>
      </c>
      <c r="G785" s="9">
        <v>9.5632789999999996</v>
      </c>
      <c r="H785" s="9">
        <v>83.783883000000003</v>
      </c>
      <c r="I785" s="7">
        <v>2901</v>
      </c>
      <c r="J785" s="7" t="s">
        <v>26</v>
      </c>
      <c r="K785" s="7"/>
      <c r="L785" s="7"/>
      <c r="M785" s="11">
        <f t="shared" si="36"/>
        <v>0</v>
      </c>
      <c r="N785" s="11">
        <f t="shared" si="1"/>
        <v>0</v>
      </c>
      <c r="O785" s="8"/>
      <c r="P785" s="8">
        <v>13</v>
      </c>
      <c r="Q785" s="7"/>
      <c r="R785" s="7"/>
      <c r="S785" s="7"/>
      <c r="T785" s="7"/>
      <c r="U785" s="7"/>
      <c r="V785" s="7"/>
      <c r="W785" s="7"/>
      <c r="X785" s="7"/>
      <c r="Y785" s="7"/>
      <c r="Z785" s="7"/>
      <c r="AA785" s="7"/>
    </row>
    <row r="786" spans="1:27" ht="15.75" hidden="1" customHeight="1" x14ac:dyDescent="0.2">
      <c r="A786" s="7" t="s">
        <v>52</v>
      </c>
      <c r="B786" s="7" t="s">
        <v>431</v>
      </c>
      <c r="C786" s="7" t="s">
        <v>524</v>
      </c>
      <c r="D786" s="8" t="s">
        <v>542</v>
      </c>
      <c r="E786" s="9">
        <v>193087</v>
      </c>
      <c r="F786" s="9">
        <v>1056379</v>
      </c>
      <c r="G786" s="9">
        <v>9.5496999999999996</v>
      </c>
      <c r="H786" s="9">
        <v>-83.785219999999995</v>
      </c>
      <c r="I786" s="7">
        <v>2597</v>
      </c>
      <c r="J786" s="7" t="s">
        <v>26</v>
      </c>
      <c r="K786" s="10">
        <v>41082</v>
      </c>
      <c r="L786" s="10">
        <v>41128</v>
      </c>
      <c r="M786" s="11">
        <f t="shared" si="36"/>
        <v>47</v>
      </c>
      <c r="N786" s="11">
        <f t="shared" si="1"/>
        <v>47</v>
      </c>
      <c r="O786" s="8"/>
      <c r="P786" s="8">
        <v>11</v>
      </c>
      <c r="Q786" s="7"/>
      <c r="R786" s="7"/>
      <c r="S786" s="7"/>
      <c r="T786" s="7"/>
      <c r="U786" s="7"/>
      <c r="V786" s="7"/>
      <c r="W786" s="7"/>
      <c r="X786" s="7"/>
      <c r="Y786" s="7"/>
      <c r="Z786" s="7"/>
      <c r="AA786" s="7"/>
    </row>
    <row r="787" spans="1:27" ht="15.75" hidden="1" customHeight="1" x14ac:dyDescent="0.2">
      <c r="A787" s="7" t="s">
        <v>453</v>
      </c>
      <c r="B787" s="7" t="s">
        <v>431</v>
      </c>
      <c r="C787" s="7" t="s">
        <v>543</v>
      </c>
      <c r="D787" s="8" t="s">
        <v>544</v>
      </c>
      <c r="E787" s="9">
        <v>190729</v>
      </c>
      <c r="F787" s="9">
        <v>1063988</v>
      </c>
      <c r="G787" s="9">
        <v>9.6138300000000001</v>
      </c>
      <c r="H787" s="9">
        <v>-83.817580000000007</v>
      </c>
      <c r="I787" s="7">
        <v>2948</v>
      </c>
      <c r="J787" s="7" t="s">
        <v>26</v>
      </c>
      <c r="K787" s="10">
        <v>40387</v>
      </c>
      <c r="L787" s="7"/>
      <c r="M787" s="11">
        <f t="shared" si="36"/>
        <v>0</v>
      </c>
      <c r="N787" s="11">
        <f t="shared" si="1"/>
        <v>0</v>
      </c>
      <c r="O787" s="8"/>
      <c r="P787" s="8" t="s">
        <v>544</v>
      </c>
      <c r="Q787" s="7"/>
      <c r="R787" s="7"/>
      <c r="S787" s="7"/>
      <c r="T787" s="7"/>
      <c r="U787" s="7"/>
      <c r="V787" s="7"/>
      <c r="W787" s="7"/>
      <c r="X787" s="7"/>
      <c r="Y787" s="7"/>
      <c r="Z787" s="7"/>
      <c r="AA787" s="7"/>
    </row>
    <row r="788" spans="1:27" ht="15.75" hidden="1" customHeight="1" x14ac:dyDescent="0.2">
      <c r="A788" s="19" t="s">
        <v>453</v>
      </c>
      <c r="B788" s="19" t="s">
        <v>431</v>
      </c>
      <c r="C788" s="19" t="s">
        <v>545</v>
      </c>
      <c r="D788" s="8" t="s">
        <v>546</v>
      </c>
      <c r="E788" s="9">
        <v>192715</v>
      </c>
      <c r="F788" s="9">
        <v>1056706</v>
      </c>
      <c r="G788" s="9">
        <v>9.5481999999999996</v>
      </c>
      <c r="H788" s="9">
        <v>-83.798969999999997</v>
      </c>
      <c r="I788" s="19">
        <v>2448</v>
      </c>
      <c r="J788" s="19" t="s">
        <v>20</v>
      </c>
      <c r="K788" s="10">
        <v>40360</v>
      </c>
      <c r="L788" s="10">
        <v>40364</v>
      </c>
      <c r="M788" s="11">
        <v>0</v>
      </c>
      <c r="N788" s="11">
        <f t="shared" si="1"/>
        <v>5</v>
      </c>
      <c r="O788" s="8" t="s">
        <v>547</v>
      </c>
      <c r="P788" s="8" t="s">
        <v>546</v>
      </c>
    </row>
    <row r="789" spans="1:27" ht="15.75" hidden="1" customHeight="1" x14ac:dyDescent="0.2">
      <c r="A789" s="19" t="s">
        <v>61</v>
      </c>
      <c r="B789" s="19" t="s">
        <v>431</v>
      </c>
      <c r="C789" s="19" t="s">
        <v>466</v>
      </c>
      <c r="D789" s="8" t="s">
        <v>548</v>
      </c>
      <c r="E789" s="9">
        <v>193536</v>
      </c>
      <c r="F789" s="9">
        <v>1056746</v>
      </c>
      <c r="G789" s="9">
        <v>9.5486330000000006</v>
      </c>
      <c r="H789" s="9">
        <v>-83.791583000000003</v>
      </c>
      <c r="I789" s="19">
        <v>2626</v>
      </c>
      <c r="J789" s="19" t="s">
        <v>20</v>
      </c>
      <c r="K789" s="10">
        <v>41135</v>
      </c>
      <c r="L789" s="10">
        <v>41270</v>
      </c>
      <c r="M789" s="11">
        <f t="shared" ref="M789:M791" si="37">IF(ISBLANK(K789),0,IF(ISBLANK(L789),0,L789-K789+1))</f>
        <v>136</v>
      </c>
      <c r="N789" s="11">
        <f t="shared" si="1"/>
        <v>136</v>
      </c>
      <c r="O789" s="8"/>
      <c r="P789" s="8">
        <v>8</v>
      </c>
    </row>
    <row r="790" spans="1:27" ht="15.75" hidden="1" customHeight="1" x14ac:dyDescent="0.2">
      <c r="A790" s="19" t="s">
        <v>441</v>
      </c>
      <c r="B790" s="19" t="s">
        <v>431</v>
      </c>
      <c r="C790" s="19" t="s">
        <v>466</v>
      </c>
      <c r="D790" s="8" t="s">
        <v>548</v>
      </c>
      <c r="E790" s="9">
        <v>193536</v>
      </c>
      <c r="F790" s="9">
        <v>1056746</v>
      </c>
      <c r="G790" s="9">
        <v>9.5486330000000006</v>
      </c>
      <c r="H790" s="9">
        <v>-83.791583000000003</v>
      </c>
      <c r="I790" s="19">
        <v>2626</v>
      </c>
      <c r="J790" s="19" t="s">
        <v>20</v>
      </c>
      <c r="K790" s="10">
        <v>40924</v>
      </c>
      <c r="L790" s="10">
        <v>41008</v>
      </c>
      <c r="M790" s="11">
        <f t="shared" si="37"/>
        <v>85</v>
      </c>
      <c r="N790" s="11">
        <f t="shared" si="1"/>
        <v>85</v>
      </c>
      <c r="O790" s="8"/>
      <c r="P790" s="8">
        <v>8</v>
      </c>
    </row>
    <row r="791" spans="1:27" ht="15.75" hidden="1" customHeight="1" x14ac:dyDescent="0.2">
      <c r="A791" s="19" t="s">
        <v>40</v>
      </c>
      <c r="B791" s="19" t="s">
        <v>431</v>
      </c>
      <c r="C791" s="19" t="s">
        <v>466</v>
      </c>
      <c r="D791" s="8" t="s">
        <v>548</v>
      </c>
      <c r="E791" s="9">
        <v>193536</v>
      </c>
      <c r="F791" s="9">
        <v>1056746</v>
      </c>
      <c r="G791" s="9">
        <v>9.5486330000000006</v>
      </c>
      <c r="H791" s="9">
        <v>-83.791583000000003</v>
      </c>
      <c r="I791" s="19">
        <v>2626</v>
      </c>
      <c r="J791" s="19" t="s">
        <v>20</v>
      </c>
      <c r="K791" s="10">
        <v>41286</v>
      </c>
      <c r="L791" s="10">
        <v>41427</v>
      </c>
      <c r="M791" s="11">
        <f t="shared" si="37"/>
        <v>142</v>
      </c>
      <c r="N791" s="11">
        <f t="shared" si="1"/>
        <v>142</v>
      </c>
      <c r="O791" s="8"/>
      <c r="P791" s="8">
        <v>8</v>
      </c>
    </row>
    <row r="792" spans="1:27" ht="15.75" hidden="1" customHeight="1" x14ac:dyDescent="0.2">
      <c r="A792" s="7" t="s">
        <v>443</v>
      </c>
      <c r="B792" s="7" t="s">
        <v>431</v>
      </c>
      <c r="C792" s="7" t="s">
        <v>466</v>
      </c>
      <c r="D792" s="8" t="s">
        <v>548</v>
      </c>
      <c r="E792" s="9">
        <v>193536</v>
      </c>
      <c r="F792" s="9">
        <v>1056746</v>
      </c>
      <c r="G792" s="9">
        <v>9.5486299999999993</v>
      </c>
      <c r="H792" s="9">
        <v>-83.791579999999996</v>
      </c>
      <c r="I792" s="7">
        <v>2626</v>
      </c>
      <c r="J792" s="7" t="s">
        <v>20</v>
      </c>
      <c r="K792" s="10">
        <v>40646</v>
      </c>
      <c r="L792" s="10">
        <v>40744</v>
      </c>
      <c r="M792" s="11">
        <v>31</v>
      </c>
      <c r="N792" s="11">
        <f t="shared" si="1"/>
        <v>99</v>
      </c>
      <c r="O792" s="8"/>
      <c r="P792" s="8">
        <v>8</v>
      </c>
    </row>
    <row r="793" spans="1:27" ht="15.75" hidden="1" customHeight="1" x14ac:dyDescent="0.2">
      <c r="A793" s="7" t="s">
        <v>52</v>
      </c>
      <c r="B793" s="7" t="s">
        <v>431</v>
      </c>
      <c r="C793" s="7" t="s">
        <v>466</v>
      </c>
      <c r="D793" s="8" t="s">
        <v>548</v>
      </c>
      <c r="E793" s="9">
        <v>193536</v>
      </c>
      <c r="F793" s="9">
        <v>1056746</v>
      </c>
      <c r="G793" s="9">
        <v>9.5486299999999993</v>
      </c>
      <c r="H793" s="9">
        <v>-83.791579999999996</v>
      </c>
      <c r="I793" s="7">
        <v>2626</v>
      </c>
      <c r="J793" s="7" t="s">
        <v>20</v>
      </c>
      <c r="K793" s="10">
        <v>41079</v>
      </c>
      <c r="L793" s="10">
        <v>41131</v>
      </c>
      <c r="M793" s="11">
        <f t="shared" ref="M793:M795" si="38">IF(ISBLANK(K793),0,IF(ISBLANK(L793),0,L793-K793+1))</f>
        <v>53</v>
      </c>
      <c r="N793" s="11">
        <f t="shared" si="1"/>
        <v>53</v>
      </c>
      <c r="O793" s="8" t="s">
        <v>27</v>
      </c>
      <c r="P793" s="8">
        <v>8</v>
      </c>
    </row>
    <row r="794" spans="1:27" ht="15.75" hidden="1" customHeight="1" x14ac:dyDescent="0.2">
      <c r="A794" s="7" t="s">
        <v>61</v>
      </c>
      <c r="B794" s="7" t="s">
        <v>431</v>
      </c>
      <c r="C794" s="7" t="s">
        <v>466</v>
      </c>
      <c r="D794" s="8" t="s">
        <v>549</v>
      </c>
      <c r="E794" s="9">
        <v>192868</v>
      </c>
      <c r="F794" s="9">
        <v>1057081</v>
      </c>
      <c r="G794" s="9">
        <v>9.5515170000000005</v>
      </c>
      <c r="H794" s="9">
        <v>-83.797416999999996</v>
      </c>
      <c r="I794" s="7">
        <v>2556</v>
      </c>
      <c r="J794" s="7" t="s">
        <v>20</v>
      </c>
      <c r="K794" s="10">
        <v>41138</v>
      </c>
      <c r="L794" s="10">
        <v>41248</v>
      </c>
      <c r="M794" s="11">
        <f t="shared" si="38"/>
        <v>111</v>
      </c>
      <c r="N794" s="11">
        <f t="shared" si="1"/>
        <v>111</v>
      </c>
      <c r="O794" s="8"/>
      <c r="P794" s="8">
        <v>5</v>
      </c>
    </row>
    <row r="795" spans="1:27" ht="15.75" hidden="1" customHeight="1" x14ac:dyDescent="0.2">
      <c r="A795" s="7" t="s">
        <v>40</v>
      </c>
      <c r="B795" s="7" t="s">
        <v>431</v>
      </c>
      <c r="C795" s="7" t="s">
        <v>466</v>
      </c>
      <c r="D795" s="8" t="s">
        <v>549</v>
      </c>
      <c r="E795" s="9">
        <v>192868</v>
      </c>
      <c r="F795" s="9">
        <v>1057081</v>
      </c>
      <c r="G795" s="9">
        <v>9.5515170000000005</v>
      </c>
      <c r="H795" s="9">
        <v>-83.797416999999996</v>
      </c>
      <c r="I795" s="7">
        <v>2556</v>
      </c>
      <c r="J795" s="7" t="s">
        <v>20</v>
      </c>
      <c r="K795" s="10">
        <v>41276</v>
      </c>
      <c r="L795" s="10">
        <v>41439</v>
      </c>
      <c r="M795" s="11">
        <f t="shared" si="38"/>
        <v>164</v>
      </c>
      <c r="N795" s="11">
        <f t="shared" si="1"/>
        <v>164</v>
      </c>
      <c r="O795" s="8"/>
      <c r="P795" s="8">
        <v>5</v>
      </c>
    </row>
    <row r="796" spans="1:27" ht="15.75" hidden="1" customHeight="1" x14ac:dyDescent="0.2">
      <c r="A796" s="7" t="s">
        <v>452</v>
      </c>
      <c r="B796" s="7" t="s">
        <v>431</v>
      </c>
      <c r="C796" s="7" t="s">
        <v>550</v>
      </c>
      <c r="D796" s="8" t="s">
        <v>551</v>
      </c>
      <c r="E796" s="9"/>
      <c r="F796" s="9"/>
      <c r="G796" s="9"/>
      <c r="H796" s="9"/>
      <c r="I796" s="7"/>
      <c r="J796" s="7" t="s">
        <v>26</v>
      </c>
      <c r="K796" s="10">
        <v>40615</v>
      </c>
      <c r="L796" s="10">
        <v>40623</v>
      </c>
      <c r="M796" s="11">
        <v>0</v>
      </c>
      <c r="N796" s="11">
        <f t="shared" si="1"/>
        <v>9</v>
      </c>
      <c r="O796" s="8" t="s">
        <v>552</v>
      </c>
      <c r="P796" s="8" t="s">
        <v>551</v>
      </c>
    </row>
    <row r="797" spans="1:27" ht="15.75" hidden="1" customHeight="1" x14ac:dyDescent="0.2">
      <c r="A797" s="7" t="s">
        <v>438</v>
      </c>
      <c r="B797" s="7" t="s">
        <v>431</v>
      </c>
      <c r="C797" s="7" t="s">
        <v>439</v>
      </c>
      <c r="D797" s="8">
        <v>26</v>
      </c>
      <c r="E797" s="9">
        <v>186462</v>
      </c>
      <c r="F797" s="9">
        <v>1064091</v>
      </c>
      <c r="G797" s="9">
        <v>9.6145300000000002</v>
      </c>
      <c r="H797" s="9">
        <v>-83.856369999999998</v>
      </c>
      <c r="I797" s="7">
        <v>3101</v>
      </c>
      <c r="J797" s="7" t="s">
        <v>26</v>
      </c>
      <c r="K797" s="10"/>
      <c r="L797" s="7"/>
      <c r="M797" s="11">
        <f t="shared" ref="M797:M800" si="39">IF(ISBLANK(K797),0,IF(ISBLANK(L797),0,L797-K797+1))</f>
        <v>0</v>
      </c>
      <c r="N797" s="11">
        <f t="shared" si="1"/>
        <v>0</v>
      </c>
      <c r="O797" s="8"/>
      <c r="P797" s="8">
        <v>26</v>
      </c>
    </row>
    <row r="798" spans="1:27" ht="15.75" hidden="1" customHeight="1" x14ac:dyDescent="0.2">
      <c r="A798" s="7" t="s">
        <v>61</v>
      </c>
      <c r="B798" s="7" t="s">
        <v>431</v>
      </c>
      <c r="C798" s="7" t="s">
        <v>439</v>
      </c>
      <c r="D798" s="8">
        <v>26</v>
      </c>
      <c r="E798" s="9">
        <v>186462</v>
      </c>
      <c r="F798" s="9">
        <v>1064091</v>
      </c>
      <c r="G798" s="9">
        <v>9.6145329999999998</v>
      </c>
      <c r="H798" s="9">
        <v>-83.856367000000006</v>
      </c>
      <c r="I798" s="7">
        <v>3101</v>
      </c>
      <c r="J798" s="7" t="s">
        <v>26</v>
      </c>
      <c r="K798" s="10">
        <v>41140</v>
      </c>
      <c r="L798" s="10">
        <v>41280</v>
      </c>
      <c r="M798" s="11">
        <f t="shared" si="39"/>
        <v>141</v>
      </c>
      <c r="N798" s="11">
        <f t="shared" si="1"/>
        <v>141</v>
      </c>
      <c r="O798" s="8"/>
      <c r="P798" s="8">
        <v>26</v>
      </c>
    </row>
    <row r="799" spans="1:27" ht="15.75" hidden="1" customHeight="1" x14ac:dyDescent="0.2">
      <c r="A799" s="7" t="s">
        <v>16</v>
      </c>
      <c r="B799" s="7" t="s">
        <v>431</v>
      </c>
      <c r="C799" s="7" t="s">
        <v>439</v>
      </c>
      <c r="D799" s="8">
        <v>26</v>
      </c>
      <c r="E799" s="9">
        <v>186462</v>
      </c>
      <c r="F799" s="9">
        <v>1064091</v>
      </c>
      <c r="G799" s="9">
        <v>9.6145329999999998</v>
      </c>
      <c r="H799" s="9">
        <v>-83.856367000000006</v>
      </c>
      <c r="I799" s="7">
        <v>3101</v>
      </c>
      <c r="J799" s="7" t="s">
        <v>26</v>
      </c>
      <c r="K799" s="10">
        <v>41485</v>
      </c>
      <c r="L799" s="10">
        <v>41626</v>
      </c>
      <c r="M799" s="11">
        <f t="shared" si="39"/>
        <v>142</v>
      </c>
      <c r="N799" s="11">
        <f t="shared" si="1"/>
        <v>142</v>
      </c>
      <c r="O799" s="8"/>
      <c r="P799" s="8">
        <v>26</v>
      </c>
    </row>
    <row r="800" spans="1:27" ht="15.75" hidden="1" customHeight="1" x14ac:dyDescent="0.2">
      <c r="A800" s="7" t="s">
        <v>165</v>
      </c>
      <c r="B800" s="7" t="s">
        <v>431</v>
      </c>
      <c r="C800" s="7" t="s">
        <v>439</v>
      </c>
      <c r="D800" s="8">
        <v>26</v>
      </c>
      <c r="E800" s="9">
        <v>186470</v>
      </c>
      <c r="F800" s="9">
        <v>1064101</v>
      </c>
      <c r="G800" s="9">
        <v>9.6145329999999998</v>
      </c>
      <c r="H800" s="9">
        <v>-83.856367000000006</v>
      </c>
      <c r="I800" s="7">
        <v>3087</v>
      </c>
      <c r="J800" s="7" t="s">
        <v>26</v>
      </c>
      <c r="K800" s="10">
        <v>42552</v>
      </c>
      <c r="L800" s="10">
        <v>42679</v>
      </c>
      <c r="M800" s="11">
        <f t="shared" si="39"/>
        <v>128</v>
      </c>
      <c r="N800" s="11">
        <f t="shared" si="1"/>
        <v>128</v>
      </c>
      <c r="O800" s="8"/>
      <c r="P800" s="8">
        <v>26</v>
      </c>
    </row>
    <row r="801" spans="1:16" ht="15.75" hidden="1" customHeight="1" x14ac:dyDescent="0.2">
      <c r="A801" s="7" t="s">
        <v>128</v>
      </c>
      <c r="B801" s="7" t="s">
        <v>431</v>
      </c>
      <c r="C801" s="7" t="s">
        <v>439</v>
      </c>
      <c r="D801" s="8">
        <v>26</v>
      </c>
      <c r="E801" s="9">
        <v>186470</v>
      </c>
      <c r="F801" s="9">
        <v>1064101</v>
      </c>
      <c r="G801" s="9">
        <v>9.6145329999999998</v>
      </c>
      <c r="H801" s="9">
        <v>-83.856367000000006</v>
      </c>
      <c r="I801" s="7">
        <v>3087</v>
      </c>
      <c r="J801" s="7" t="s">
        <v>26</v>
      </c>
      <c r="K801" s="10">
        <v>42892</v>
      </c>
      <c r="L801" s="10">
        <v>42983</v>
      </c>
      <c r="M801" s="11">
        <v>0</v>
      </c>
      <c r="N801" s="11">
        <f t="shared" si="1"/>
        <v>92</v>
      </c>
      <c r="O801" s="8" t="s">
        <v>553</v>
      </c>
      <c r="P801" s="8">
        <v>26</v>
      </c>
    </row>
    <row r="802" spans="1:16" ht="15.75" hidden="1" customHeight="1" x14ac:dyDescent="0.2">
      <c r="A802" s="7" t="s">
        <v>441</v>
      </c>
      <c r="B802" s="7" t="s">
        <v>431</v>
      </c>
      <c r="C802" s="7" t="s">
        <v>439</v>
      </c>
      <c r="D802" s="8">
        <v>26</v>
      </c>
      <c r="E802" s="9">
        <v>186462</v>
      </c>
      <c r="F802" s="9">
        <v>1064091</v>
      </c>
      <c r="G802" s="9">
        <v>9.6145329999999998</v>
      </c>
      <c r="H802" s="9">
        <v>-83.856367000000006</v>
      </c>
      <c r="I802" s="7">
        <v>3101</v>
      </c>
      <c r="J802" s="7" t="s">
        <v>26</v>
      </c>
      <c r="K802" s="7"/>
      <c r="L802" s="7"/>
      <c r="M802" s="11">
        <f t="shared" ref="M802:M806" si="40">IF(ISBLANK(K802),0,IF(ISBLANK(L802),0,L802-K802+1))</f>
        <v>0</v>
      </c>
      <c r="N802" s="11">
        <f t="shared" si="1"/>
        <v>0</v>
      </c>
      <c r="O802" s="8"/>
      <c r="P802" s="8">
        <v>26</v>
      </c>
    </row>
    <row r="803" spans="1:16" ht="15.75" hidden="1" customHeight="1" x14ac:dyDescent="0.2">
      <c r="A803" s="7" t="s">
        <v>40</v>
      </c>
      <c r="B803" s="7" t="s">
        <v>431</v>
      </c>
      <c r="C803" s="7" t="s">
        <v>439</v>
      </c>
      <c r="D803" s="8">
        <v>26</v>
      </c>
      <c r="E803" s="9">
        <v>186462</v>
      </c>
      <c r="F803" s="9">
        <v>1064091</v>
      </c>
      <c r="G803" s="9">
        <v>9.6145329999999998</v>
      </c>
      <c r="H803" s="9">
        <v>-83.856367000000006</v>
      </c>
      <c r="I803" s="7">
        <v>3101</v>
      </c>
      <c r="J803" s="7" t="s">
        <v>26</v>
      </c>
      <c r="K803" s="10">
        <v>41281</v>
      </c>
      <c r="L803" s="10">
        <v>41444</v>
      </c>
      <c r="M803" s="11">
        <f t="shared" si="40"/>
        <v>164</v>
      </c>
      <c r="N803" s="11">
        <f t="shared" si="1"/>
        <v>164</v>
      </c>
      <c r="O803" s="8"/>
      <c r="P803" s="8">
        <v>26</v>
      </c>
    </row>
    <row r="804" spans="1:16" ht="15.75" hidden="1" customHeight="1" x14ac:dyDescent="0.2">
      <c r="A804" s="7" t="s">
        <v>42</v>
      </c>
      <c r="B804" s="7" t="s">
        <v>431</v>
      </c>
      <c r="C804" s="7" t="s">
        <v>439</v>
      </c>
      <c r="D804" s="8">
        <v>26</v>
      </c>
      <c r="E804" s="9">
        <v>186470</v>
      </c>
      <c r="F804" s="9">
        <v>1064101</v>
      </c>
      <c r="G804" s="9">
        <v>9.6145329999999998</v>
      </c>
      <c r="H804" s="9">
        <v>-83.856367000000006</v>
      </c>
      <c r="I804" s="7">
        <v>3087</v>
      </c>
      <c r="J804" s="7" t="s">
        <v>26</v>
      </c>
      <c r="K804" s="10">
        <v>41644</v>
      </c>
      <c r="L804" s="10">
        <v>41770</v>
      </c>
      <c r="M804" s="11">
        <f t="shared" si="40"/>
        <v>127</v>
      </c>
      <c r="N804" s="11">
        <f t="shared" si="1"/>
        <v>127</v>
      </c>
      <c r="O804" s="8"/>
      <c r="P804" s="8">
        <v>26</v>
      </c>
    </row>
    <row r="805" spans="1:16" ht="15.75" hidden="1" customHeight="1" x14ac:dyDescent="0.2">
      <c r="A805" s="7" t="s">
        <v>47</v>
      </c>
      <c r="B805" s="7" t="s">
        <v>431</v>
      </c>
      <c r="C805" s="7" t="s">
        <v>439</v>
      </c>
      <c r="D805" s="8">
        <v>26</v>
      </c>
      <c r="E805" s="9">
        <v>186470</v>
      </c>
      <c r="F805" s="9">
        <v>1064101</v>
      </c>
      <c r="G805" s="9">
        <v>9.6145329999999998</v>
      </c>
      <c r="H805" s="9">
        <v>-83.856367000000006</v>
      </c>
      <c r="I805" s="7">
        <v>3087</v>
      </c>
      <c r="J805" s="7" t="s">
        <v>26</v>
      </c>
      <c r="K805" s="10">
        <v>41995</v>
      </c>
      <c r="L805" s="10">
        <v>42046</v>
      </c>
      <c r="M805" s="11">
        <f t="shared" si="40"/>
        <v>52</v>
      </c>
      <c r="N805" s="11">
        <f t="shared" si="1"/>
        <v>52</v>
      </c>
      <c r="O805" s="8"/>
      <c r="P805" s="8">
        <v>26</v>
      </c>
    </row>
    <row r="806" spans="1:16" ht="15.75" hidden="1" customHeight="1" x14ac:dyDescent="0.2">
      <c r="A806" s="7" t="s">
        <v>130</v>
      </c>
      <c r="B806" s="7" t="s">
        <v>431</v>
      </c>
      <c r="C806" s="7" t="s">
        <v>439</v>
      </c>
      <c r="D806" s="8">
        <v>26</v>
      </c>
      <c r="E806" s="9">
        <v>186470</v>
      </c>
      <c r="F806" s="9">
        <v>1064101</v>
      </c>
      <c r="G806" s="9">
        <v>9.6145329999999998</v>
      </c>
      <c r="H806" s="9">
        <v>-83.856367000000006</v>
      </c>
      <c r="I806" s="7">
        <v>3087</v>
      </c>
      <c r="J806" s="7" t="s">
        <v>26</v>
      </c>
      <c r="K806" s="10">
        <v>42453</v>
      </c>
      <c r="L806" s="10">
        <v>42526</v>
      </c>
      <c r="M806" s="11">
        <f t="shared" si="40"/>
        <v>74</v>
      </c>
      <c r="N806" s="11">
        <f t="shared" si="1"/>
        <v>74</v>
      </c>
      <c r="O806" s="8"/>
      <c r="P806" s="8">
        <v>26</v>
      </c>
    </row>
    <row r="807" spans="1:16" ht="15.75" hidden="1" customHeight="1" x14ac:dyDescent="0.2">
      <c r="A807" s="7" t="s">
        <v>131</v>
      </c>
      <c r="B807" s="7" t="s">
        <v>431</v>
      </c>
      <c r="C807" s="7" t="s">
        <v>439</v>
      </c>
      <c r="D807" s="8">
        <v>26</v>
      </c>
      <c r="E807" s="9">
        <v>186470</v>
      </c>
      <c r="F807" s="9">
        <v>1064101</v>
      </c>
      <c r="G807" s="9">
        <v>9.6145329999999998</v>
      </c>
      <c r="H807" s="9">
        <v>-83.856367000000006</v>
      </c>
      <c r="I807" s="7">
        <v>3087</v>
      </c>
      <c r="J807" s="7" t="s">
        <v>26</v>
      </c>
      <c r="K807" s="10">
        <v>42818</v>
      </c>
      <c r="L807" s="10">
        <v>42891</v>
      </c>
      <c r="M807" s="11">
        <v>0</v>
      </c>
      <c r="N807" s="11">
        <f t="shared" si="1"/>
        <v>74</v>
      </c>
      <c r="O807" s="8" t="s">
        <v>553</v>
      </c>
      <c r="P807" s="8">
        <v>26</v>
      </c>
    </row>
    <row r="808" spans="1:16" ht="15.75" hidden="1" customHeight="1" x14ac:dyDescent="0.2">
      <c r="A808" s="7" t="s">
        <v>40</v>
      </c>
      <c r="B808" s="7" t="s">
        <v>431</v>
      </c>
      <c r="C808" s="7" t="s">
        <v>482</v>
      </c>
      <c r="D808" s="8">
        <v>22</v>
      </c>
      <c r="E808" s="9">
        <v>190772</v>
      </c>
      <c r="F808" s="9">
        <v>1057154</v>
      </c>
      <c r="G808" s="9">
        <v>9.5520999999999994</v>
      </c>
      <c r="H808" s="9">
        <v>-83.816682999999998</v>
      </c>
      <c r="I808" s="7">
        <v>2388</v>
      </c>
      <c r="J808" s="7" t="s">
        <v>26</v>
      </c>
      <c r="K808" s="10">
        <v>41287</v>
      </c>
      <c r="L808" s="10">
        <v>41480</v>
      </c>
      <c r="M808" s="11">
        <f>IF(ISBLANK(K808),0,IF(ISBLANK(L808),0,L808-K808+1))</f>
        <v>194</v>
      </c>
      <c r="N808" s="11">
        <f t="shared" si="1"/>
        <v>194</v>
      </c>
      <c r="O808" s="8"/>
      <c r="P808" s="8">
        <v>22</v>
      </c>
    </row>
    <row r="809" spans="1:16" ht="15.75" hidden="1" customHeight="1" x14ac:dyDescent="0.2">
      <c r="A809" s="7" t="s">
        <v>61</v>
      </c>
      <c r="B809" s="7" t="s">
        <v>431</v>
      </c>
      <c r="C809" s="7" t="s">
        <v>466</v>
      </c>
      <c r="D809" s="8">
        <v>19</v>
      </c>
      <c r="E809" s="9">
        <v>192846</v>
      </c>
      <c r="F809" s="9">
        <v>1055940</v>
      </c>
      <c r="G809" s="9">
        <v>9.5412499999999998</v>
      </c>
      <c r="H809" s="9">
        <v>-83.797683000000006</v>
      </c>
      <c r="I809" s="7">
        <v>2500</v>
      </c>
      <c r="J809" s="7" t="s">
        <v>20</v>
      </c>
      <c r="K809" s="10">
        <v>41182</v>
      </c>
      <c r="L809" s="10">
        <v>41254</v>
      </c>
      <c r="M809" s="11">
        <v>0</v>
      </c>
      <c r="N809" s="11">
        <f t="shared" si="1"/>
        <v>73</v>
      </c>
      <c r="O809" s="8" t="s">
        <v>554</v>
      </c>
      <c r="P809" s="8">
        <v>19</v>
      </c>
    </row>
    <row r="810" spans="1:16" ht="15.75" hidden="1" customHeight="1" x14ac:dyDescent="0.2">
      <c r="A810" s="7" t="s">
        <v>441</v>
      </c>
      <c r="B810" s="7" t="s">
        <v>431</v>
      </c>
      <c r="C810" s="7" t="s">
        <v>466</v>
      </c>
      <c r="D810" s="8">
        <v>19</v>
      </c>
      <c r="E810" s="9">
        <v>192846</v>
      </c>
      <c r="F810" s="9">
        <v>1055940</v>
      </c>
      <c r="G810" s="9">
        <v>9.5412499999999998</v>
      </c>
      <c r="H810" s="9">
        <v>-83.797683000000006</v>
      </c>
      <c r="I810" s="7">
        <v>2500</v>
      </c>
      <c r="J810" s="7" t="s">
        <v>20</v>
      </c>
      <c r="K810" s="7"/>
      <c r="L810" s="7"/>
      <c r="M810" s="11">
        <f t="shared" ref="M810:M815" si="41">IF(ISBLANK(K810),0,IF(ISBLANK(L810),0,L810-K810+1))</f>
        <v>0</v>
      </c>
      <c r="N810" s="11">
        <f t="shared" si="1"/>
        <v>0</v>
      </c>
      <c r="O810" s="8"/>
      <c r="P810" s="8">
        <v>19</v>
      </c>
    </row>
    <row r="811" spans="1:16" ht="15.75" hidden="1" customHeight="1" x14ac:dyDescent="0.2">
      <c r="A811" s="7" t="s">
        <v>40</v>
      </c>
      <c r="B811" s="7" t="s">
        <v>431</v>
      </c>
      <c r="C811" s="7" t="s">
        <v>466</v>
      </c>
      <c r="D811" s="8">
        <v>19</v>
      </c>
      <c r="E811" s="9">
        <v>192846</v>
      </c>
      <c r="F811" s="9">
        <v>1055940</v>
      </c>
      <c r="G811" s="9">
        <v>9.5412499999999998</v>
      </c>
      <c r="H811" s="9">
        <v>-83.797683000000006</v>
      </c>
      <c r="I811" s="7">
        <v>2500</v>
      </c>
      <c r="J811" s="7" t="s">
        <v>20</v>
      </c>
      <c r="K811" s="10">
        <v>41182</v>
      </c>
      <c r="L811" s="10">
        <v>41437</v>
      </c>
      <c r="M811" s="11">
        <f t="shared" si="41"/>
        <v>256</v>
      </c>
      <c r="N811" s="11">
        <f t="shared" si="1"/>
        <v>256</v>
      </c>
      <c r="O811" s="8"/>
      <c r="P811" s="8">
        <v>19</v>
      </c>
    </row>
    <row r="812" spans="1:16" ht="15.75" hidden="1" customHeight="1" x14ac:dyDescent="0.2">
      <c r="A812" s="7" t="s">
        <v>52</v>
      </c>
      <c r="B812" s="7" t="s">
        <v>431</v>
      </c>
      <c r="C812" s="7" t="s">
        <v>466</v>
      </c>
      <c r="D812" s="8">
        <v>19</v>
      </c>
      <c r="E812" s="9">
        <v>192846</v>
      </c>
      <c r="F812" s="9">
        <v>1055940</v>
      </c>
      <c r="G812" s="9">
        <v>9.5412499999999998</v>
      </c>
      <c r="H812" s="9">
        <v>-83.79768</v>
      </c>
      <c r="I812" s="7">
        <v>2500</v>
      </c>
      <c r="J812" s="7" t="s">
        <v>20</v>
      </c>
      <c r="K812" s="10">
        <v>40986</v>
      </c>
      <c r="L812" s="10">
        <v>41131</v>
      </c>
      <c r="M812" s="11">
        <f t="shared" si="41"/>
        <v>146</v>
      </c>
      <c r="N812" s="11">
        <f t="shared" si="1"/>
        <v>146</v>
      </c>
      <c r="O812" s="8"/>
      <c r="P812" s="8">
        <v>19</v>
      </c>
    </row>
    <row r="813" spans="1:16" ht="15.75" hidden="1" customHeight="1" x14ac:dyDescent="0.2">
      <c r="A813" s="7" t="s">
        <v>40</v>
      </c>
      <c r="B813" s="7" t="s">
        <v>431</v>
      </c>
      <c r="C813" s="7" t="s">
        <v>466</v>
      </c>
      <c r="D813" s="8">
        <v>18</v>
      </c>
      <c r="E813" s="9">
        <v>193405</v>
      </c>
      <c r="F813" s="9">
        <v>1057059</v>
      </c>
      <c r="G813" s="9">
        <v>9.5455170000000003</v>
      </c>
      <c r="H813" s="9">
        <v>-83.800533000000001</v>
      </c>
      <c r="I813" s="7">
        <v>2595</v>
      </c>
      <c r="J813" s="7" t="s">
        <v>20</v>
      </c>
      <c r="K813" s="10">
        <v>41333</v>
      </c>
      <c r="L813" s="10">
        <v>41439</v>
      </c>
      <c r="M813" s="11">
        <f t="shared" si="41"/>
        <v>107</v>
      </c>
      <c r="N813" s="11">
        <f t="shared" si="1"/>
        <v>107</v>
      </c>
      <c r="O813" s="8"/>
      <c r="P813" s="8">
        <v>18</v>
      </c>
    </row>
    <row r="814" spans="1:16" ht="15.75" hidden="1" customHeight="1" x14ac:dyDescent="0.2">
      <c r="A814" s="7" t="s">
        <v>40</v>
      </c>
      <c r="B814" s="7" t="s">
        <v>431</v>
      </c>
      <c r="C814" s="7" t="s">
        <v>466</v>
      </c>
      <c r="D814" s="8">
        <v>16</v>
      </c>
      <c r="E814" s="9">
        <v>193587</v>
      </c>
      <c r="F814" s="9">
        <v>1056917</v>
      </c>
      <c r="G814" s="9">
        <v>9.5501330000000006</v>
      </c>
      <c r="H814" s="9">
        <v>-83.790599999999998</v>
      </c>
      <c r="I814" s="7">
        <v>2586</v>
      </c>
      <c r="J814" s="7" t="s">
        <v>20</v>
      </c>
      <c r="K814" s="10">
        <v>41333</v>
      </c>
      <c r="L814" s="10">
        <v>41439</v>
      </c>
      <c r="M814" s="11">
        <f t="shared" si="41"/>
        <v>107</v>
      </c>
      <c r="N814" s="11">
        <f t="shared" si="1"/>
        <v>107</v>
      </c>
      <c r="O814" s="8"/>
      <c r="P814" s="8">
        <v>16</v>
      </c>
    </row>
    <row r="815" spans="1:16" ht="15.75" hidden="1" customHeight="1" x14ac:dyDescent="0.2">
      <c r="A815" s="7" t="s">
        <v>443</v>
      </c>
      <c r="B815" s="7" t="s">
        <v>431</v>
      </c>
      <c r="C815" s="7" t="s">
        <v>516</v>
      </c>
      <c r="D815" s="8">
        <v>12</v>
      </c>
      <c r="E815" s="9"/>
      <c r="F815" s="9"/>
      <c r="G815" s="9"/>
      <c r="H815" s="9"/>
      <c r="I815" s="7"/>
      <c r="J815" s="7" t="s">
        <v>20</v>
      </c>
      <c r="K815" s="10">
        <v>40717</v>
      </c>
      <c r="L815" s="10">
        <v>40742</v>
      </c>
      <c r="M815" s="11">
        <f t="shared" si="41"/>
        <v>26</v>
      </c>
      <c r="N815" s="11">
        <f t="shared" si="1"/>
        <v>26</v>
      </c>
      <c r="O815" s="8"/>
      <c r="P815" s="8">
        <v>12</v>
      </c>
    </row>
    <row r="816" spans="1:16" ht="15.75" hidden="1" customHeight="1" x14ac:dyDescent="0.2">
      <c r="A816" s="7" t="s">
        <v>443</v>
      </c>
      <c r="B816" s="7" t="s">
        <v>431</v>
      </c>
      <c r="C816" s="7" t="s">
        <v>449</v>
      </c>
      <c r="D816" s="8">
        <v>12</v>
      </c>
      <c r="E816" s="9"/>
      <c r="F816" s="9"/>
      <c r="G816" s="9"/>
      <c r="H816" s="9"/>
      <c r="I816" s="7"/>
      <c r="J816" s="7" t="s">
        <v>26</v>
      </c>
      <c r="K816" s="10">
        <v>40743</v>
      </c>
      <c r="L816" s="10">
        <v>40756</v>
      </c>
      <c r="M816" s="11">
        <v>0</v>
      </c>
      <c r="N816" s="11">
        <f t="shared" si="1"/>
        <v>14</v>
      </c>
      <c r="O816" s="8" t="s">
        <v>555</v>
      </c>
      <c r="P816" s="8">
        <v>12</v>
      </c>
    </row>
    <row r="817" spans="1:27" ht="15.75" hidden="1" customHeight="1" x14ac:dyDescent="0.2">
      <c r="A817" s="19" t="s">
        <v>438</v>
      </c>
      <c r="B817" s="19" t="s">
        <v>431</v>
      </c>
      <c r="C817" s="19" t="s">
        <v>466</v>
      </c>
      <c r="D817" s="8">
        <v>11</v>
      </c>
      <c r="E817" s="9">
        <v>193089</v>
      </c>
      <c r="F817" s="9">
        <v>1056275</v>
      </c>
      <c r="G817" s="9">
        <v>9.5443300000000004</v>
      </c>
      <c r="H817" s="9">
        <v>-83.795529999999999</v>
      </c>
      <c r="I817" s="19">
        <v>2593</v>
      </c>
      <c r="J817" s="19" t="s">
        <v>20</v>
      </c>
      <c r="K817" s="7"/>
      <c r="L817" s="7"/>
      <c r="M817" s="11">
        <f t="shared" ref="M817:M821" si="42">IF(ISBLANK(K817),0,IF(ISBLANK(L817),0,L817-K817+1))</f>
        <v>0</v>
      </c>
      <c r="N817" s="11">
        <f t="shared" si="1"/>
        <v>0</v>
      </c>
      <c r="O817" s="8"/>
      <c r="P817" s="8">
        <v>11</v>
      </c>
    </row>
    <row r="818" spans="1:27" ht="15.75" hidden="1" customHeight="1" x14ac:dyDescent="0.2">
      <c r="A818" s="19" t="s">
        <v>452</v>
      </c>
      <c r="B818" s="19" t="s">
        <v>431</v>
      </c>
      <c r="C818" s="19" t="s">
        <v>466</v>
      </c>
      <c r="D818" s="8">
        <v>11</v>
      </c>
      <c r="E818" s="9">
        <v>193089</v>
      </c>
      <c r="F818" s="9">
        <v>1056275</v>
      </c>
      <c r="G818" s="9">
        <v>9.5443300000000004</v>
      </c>
      <c r="H818" s="9">
        <v>-83.795529999999999</v>
      </c>
      <c r="I818" s="19">
        <v>2593</v>
      </c>
      <c r="J818" s="19" t="s">
        <v>20</v>
      </c>
      <c r="K818" s="7"/>
      <c r="L818" s="7"/>
      <c r="M818" s="11">
        <f t="shared" si="42"/>
        <v>0</v>
      </c>
      <c r="N818" s="11">
        <f t="shared" si="1"/>
        <v>0</v>
      </c>
      <c r="O818" s="8"/>
      <c r="P818" s="8">
        <v>11</v>
      </c>
    </row>
    <row r="819" spans="1:27" ht="15.75" hidden="1" customHeight="1" x14ac:dyDescent="0.2">
      <c r="A819" s="19" t="s">
        <v>441</v>
      </c>
      <c r="B819" s="19" t="s">
        <v>431</v>
      </c>
      <c r="C819" s="7" t="s">
        <v>466</v>
      </c>
      <c r="D819" s="8">
        <v>11</v>
      </c>
      <c r="E819" s="9">
        <v>193087</v>
      </c>
      <c r="F819" s="9">
        <v>1056379</v>
      </c>
      <c r="G819" s="9">
        <v>9.5496999999999996</v>
      </c>
      <c r="H819" s="9">
        <v>-83.785217000000003</v>
      </c>
      <c r="I819" s="19">
        <v>2597</v>
      </c>
      <c r="J819" s="19" t="s">
        <v>20</v>
      </c>
      <c r="K819" s="7"/>
      <c r="L819" s="7"/>
      <c r="M819" s="11">
        <f t="shared" si="42"/>
        <v>0</v>
      </c>
      <c r="N819" s="11">
        <f t="shared" si="1"/>
        <v>0</v>
      </c>
      <c r="O819" s="8"/>
      <c r="P819" s="8">
        <v>11</v>
      </c>
    </row>
    <row r="820" spans="1:27" ht="15.75" hidden="1" customHeight="1" x14ac:dyDescent="0.2">
      <c r="A820" s="19" t="s">
        <v>40</v>
      </c>
      <c r="B820" s="19" t="s">
        <v>431</v>
      </c>
      <c r="C820" s="7" t="s">
        <v>466</v>
      </c>
      <c r="D820" s="8">
        <v>11</v>
      </c>
      <c r="E820" s="9">
        <v>193087</v>
      </c>
      <c r="F820" s="9">
        <v>1056379</v>
      </c>
      <c r="G820" s="9">
        <v>9.5496999999999996</v>
      </c>
      <c r="H820" s="9">
        <v>-83.785217000000003</v>
      </c>
      <c r="I820" s="19">
        <v>2597</v>
      </c>
      <c r="J820" s="19" t="s">
        <v>20</v>
      </c>
      <c r="K820" s="10">
        <v>41334</v>
      </c>
      <c r="L820" s="10">
        <v>41437</v>
      </c>
      <c r="M820" s="11">
        <f t="shared" si="42"/>
        <v>104</v>
      </c>
      <c r="N820" s="11">
        <f t="shared" si="1"/>
        <v>104</v>
      </c>
      <c r="O820" s="8"/>
      <c r="P820" s="8">
        <v>11</v>
      </c>
    </row>
    <row r="821" spans="1:27" ht="15.75" hidden="1" customHeight="1" x14ac:dyDescent="0.2">
      <c r="A821" s="19" t="s">
        <v>453</v>
      </c>
      <c r="B821" s="19" t="s">
        <v>431</v>
      </c>
      <c r="C821" s="7" t="s">
        <v>466</v>
      </c>
      <c r="D821" s="8">
        <v>11</v>
      </c>
      <c r="E821" s="9">
        <v>193089</v>
      </c>
      <c r="F821" s="9">
        <v>1056275</v>
      </c>
      <c r="G821" s="9">
        <v>9.5443300000000004</v>
      </c>
      <c r="H821" s="9">
        <v>-83.795529999999999</v>
      </c>
      <c r="I821" s="19">
        <v>2593</v>
      </c>
      <c r="J821" s="19" t="s">
        <v>20</v>
      </c>
      <c r="K821" s="10">
        <v>40374</v>
      </c>
      <c r="L821" s="10">
        <v>40392</v>
      </c>
      <c r="M821" s="11">
        <f t="shared" si="42"/>
        <v>19</v>
      </c>
      <c r="N821" s="11">
        <f t="shared" si="1"/>
        <v>19</v>
      </c>
      <c r="O821" s="8"/>
      <c r="P821" s="8">
        <v>11</v>
      </c>
    </row>
    <row r="822" spans="1:27" ht="15.75" hidden="1" customHeight="1" x14ac:dyDescent="0.2">
      <c r="A822" s="19" t="s">
        <v>443</v>
      </c>
      <c r="B822" s="19" t="s">
        <v>431</v>
      </c>
      <c r="C822" s="7" t="s">
        <v>466</v>
      </c>
      <c r="D822" s="8">
        <v>11</v>
      </c>
      <c r="E822" s="9">
        <v>193089</v>
      </c>
      <c r="F822" s="9">
        <v>1056275</v>
      </c>
      <c r="G822" s="9">
        <v>9.5443300000000004</v>
      </c>
      <c r="H822" s="9">
        <v>-83.795529999999999</v>
      </c>
      <c r="I822" s="19">
        <v>2593</v>
      </c>
      <c r="J822" s="19" t="s">
        <v>20</v>
      </c>
      <c r="K822" s="10">
        <v>40646</v>
      </c>
      <c r="L822" s="10">
        <v>40731</v>
      </c>
      <c r="M822" s="11">
        <v>11</v>
      </c>
      <c r="N822" s="11">
        <f t="shared" si="1"/>
        <v>86</v>
      </c>
      <c r="O822" s="8"/>
      <c r="P822" s="8">
        <v>11</v>
      </c>
    </row>
    <row r="823" spans="1:27" ht="15.75" hidden="1" customHeight="1" x14ac:dyDescent="0.2">
      <c r="A823" s="19" t="s">
        <v>438</v>
      </c>
      <c r="B823" s="19" t="s">
        <v>431</v>
      </c>
      <c r="C823" s="7" t="s">
        <v>545</v>
      </c>
      <c r="D823" s="8">
        <v>10</v>
      </c>
      <c r="E823" s="9">
        <v>192541</v>
      </c>
      <c r="F823" s="9">
        <v>1056411</v>
      </c>
      <c r="G823" s="9">
        <v>9.5455199999999998</v>
      </c>
      <c r="H823" s="9">
        <v>-83.800529999999995</v>
      </c>
      <c r="I823" s="19">
        <v>2397</v>
      </c>
      <c r="J823" s="19" t="s">
        <v>20</v>
      </c>
      <c r="K823" s="7"/>
      <c r="L823" s="7"/>
      <c r="M823" s="11">
        <f t="shared" ref="M823:M827" si="43">IF(ISBLANK(K823),0,IF(ISBLANK(L823),0,L823-K823+1))</f>
        <v>0</v>
      </c>
      <c r="N823" s="11">
        <f t="shared" si="1"/>
        <v>0</v>
      </c>
      <c r="O823" s="8"/>
      <c r="P823" s="8">
        <v>10</v>
      </c>
    </row>
    <row r="824" spans="1:27" ht="15.75" hidden="1" customHeight="1" x14ac:dyDescent="0.2">
      <c r="A824" s="19" t="s">
        <v>61</v>
      </c>
      <c r="B824" s="19" t="s">
        <v>431</v>
      </c>
      <c r="C824" s="7" t="s">
        <v>466</v>
      </c>
      <c r="D824" s="8">
        <v>10</v>
      </c>
      <c r="E824" s="9">
        <v>193405</v>
      </c>
      <c r="F824" s="9">
        <v>1057059</v>
      </c>
      <c r="G824" s="9">
        <v>9.5514329999999994</v>
      </c>
      <c r="H824" s="9">
        <v>-83.792716999999996</v>
      </c>
      <c r="I824" s="19">
        <v>2595</v>
      </c>
      <c r="J824" s="19" t="s">
        <v>20</v>
      </c>
      <c r="K824" s="10">
        <v>41181</v>
      </c>
      <c r="L824" s="10">
        <v>41220</v>
      </c>
      <c r="M824" s="11">
        <f t="shared" si="43"/>
        <v>40</v>
      </c>
      <c r="N824" s="11">
        <f t="shared" si="1"/>
        <v>40</v>
      </c>
      <c r="O824" s="8"/>
      <c r="P824" s="8">
        <v>10</v>
      </c>
    </row>
    <row r="825" spans="1:27" ht="15.75" hidden="1" customHeight="1" x14ac:dyDescent="0.2">
      <c r="A825" s="19" t="s">
        <v>452</v>
      </c>
      <c r="B825" s="19" t="s">
        <v>431</v>
      </c>
      <c r="C825" s="7" t="s">
        <v>545</v>
      </c>
      <c r="D825" s="8">
        <v>10</v>
      </c>
      <c r="E825" s="9">
        <v>192541</v>
      </c>
      <c r="F825" s="9">
        <v>1056411</v>
      </c>
      <c r="G825" s="9">
        <v>9.5455199999999998</v>
      </c>
      <c r="H825" s="9">
        <v>-83.800529999999995</v>
      </c>
      <c r="I825" s="19">
        <v>2397</v>
      </c>
      <c r="J825" s="19" t="s">
        <v>20</v>
      </c>
      <c r="K825" s="7"/>
      <c r="L825" s="7"/>
      <c r="M825" s="11">
        <f t="shared" si="43"/>
        <v>0</v>
      </c>
      <c r="N825" s="11">
        <f t="shared" si="1"/>
        <v>0</v>
      </c>
      <c r="O825" s="8"/>
      <c r="P825" s="8">
        <v>10</v>
      </c>
    </row>
    <row r="826" spans="1:27" ht="15.75" hidden="1" customHeight="1" x14ac:dyDescent="0.2">
      <c r="A826" s="19" t="s">
        <v>441</v>
      </c>
      <c r="B826" s="19" t="s">
        <v>431</v>
      </c>
      <c r="C826" s="7" t="s">
        <v>466</v>
      </c>
      <c r="D826" s="8">
        <v>10</v>
      </c>
      <c r="E826" s="9">
        <v>193405</v>
      </c>
      <c r="F826" s="9">
        <v>1057059</v>
      </c>
      <c r="G826" s="9">
        <v>9.5514329999999994</v>
      </c>
      <c r="H826" s="9">
        <v>-83.792716999999996</v>
      </c>
      <c r="I826" s="19">
        <v>2595</v>
      </c>
      <c r="J826" s="19" t="s">
        <v>20</v>
      </c>
      <c r="K826" s="10">
        <v>40969</v>
      </c>
      <c r="L826" s="10">
        <v>41007</v>
      </c>
      <c r="M826" s="11">
        <f t="shared" si="43"/>
        <v>39</v>
      </c>
      <c r="N826" s="11">
        <f t="shared" si="1"/>
        <v>39</v>
      </c>
      <c r="O826" s="8"/>
      <c r="P826" s="8">
        <v>10</v>
      </c>
    </row>
    <row r="827" spans="1:27" ht="15.75" hidden="1" customHeight="1" x14ac:dyDescent="0.2">
      <c r="A827" s="19" t="s">
        <v>40</v>
      </c>
      <c r="B827" s="19" t="s">
        <v>431</v>
      </c>
      <c r="C827" s="7" t="s">
        <v>466</v>
      </c>
      <c r="D827" s="8">
        <v>10</v>
      </c>
      <c r="E827" s="9">
        <v>193405</v>
      </c>
      <c r="F827" s="9">
        <v>1057059</v>
      </c>
      <c r="G827" s="9">
        <v>9.5514329999999994</v>
      </c>
      <c r="H827" s="9">
        <v>-83.792716999999996</v>
      </c>
      <c r="I827" s="19">
        <v>2595</v>
      </c>
      <c r="J827" s="19" t="s">
        <v>20</v>
      </c>
      <c r="K827" s="10">
        <v>41280</v>
      </c>
      <c r="L827" s="10">
        <v>41402</v>
      </c>
      <c r="M827" s="11">
        <f t="shared" si="43"/>
        <v>123</v>
      </c>
      <c r="N827" s="11">
        <f t="shared" si="1"/>
        <v>123</v>
      </c>
      <c r="O827" s="8"/>
      <c r="P827" s="8">
        <v>10</v>
      </c>
    </row>
    <row r="828" spans="1:27" ht="15.75" hidden="1" customHeight="1" x14ac:dyDescent="0.2">
      <c r="A828" s="7" t="s">
        <v>453</v>
      </c>
      <c r="B828" s="7" t="s">
        <v>431</v>
      </c>
      <c r="C828" s="7" t="s">
        <v>545</v>
      </c>
      <c r="D828" s="8">
        <v>10</v>
      </c>
      <c r="E828" s="9">
        <v>192541</v>
      </c>
      <c r="F828" s="9">
        <v>1056411</v>
      </c>
      <c r="G828" s="9">
        <v>9.5455199999999998</v>
      </c>
      <c r="H828" s="9">
        <v>-83.800529999999995</v>
      </c>
      <c r="I828" s="7">
        <v>2397</v>
      </c>
      <c r="J828" s="7" t="s">
        <v>20</v>
      </c>
      <c r="K828" s="10">
        <v>40357</v>
      </c>
      <c r="L828" s="10">
        <v>40375</v>
      </c>
      <c r="M828" s="11">
        <v>0</v>
      </c>
      <c r="N828" s="11">
        <f t="shared" si="1"/>
        <v>19</v>
      </c>
      <c r="O828" s="8" t="s">
        <v>556</v>
      </c>
      <c r="P828" s="8">
        <v>10</v>
      </c>
      <c r="Q828" s="14"/>
      <c r="R828" s="14"/>
      <c r="S828" s="14"/>
      <c r="T828" s="14"/>
      <c r="U828" s="14"/>
      <c r="V828" s="14"/>
      <c r="W828" s="14"/>
      <c r="X828" s="14"/>
      <c r="Y828" s="14"/>
      <c r="Z828" s="14"/>
      <c r="AA828" s="14"/>
    </row>
    <row r="829" spans="1:27" ht="15.75" hidden="1" customHeight="1" x14ac:dyDescent="0.2">
      <c r="A829" s="7" t="s">
        <v>52</v>
      </c>
      <c r="B829" s="7" t="s">
        <v>431</v>
      </c>
      <c r="C829" s="7" t="s">
        <v>545</v>
      </c>
      <c r="D829" s="8">
        <v>10</v>
      </c>
      <c r="E829" s="9">
        <v>192541</v>
      </c>
      <c r="F829" s="9">
        <v>1056411</v>
      </c>
      <c r="G829" s="9">
        <v>9.5455199999999998</v>
      </c>
      <c r="H829" s="9">
        <v>-83.800529999999995</v>
      </c>
      <c r="I829" s="7">
        <v>2397</v>
      </c>
      <c r="J829" s="7" t="s">
        <v>20</v>
      </c>
      <c r="K829" s="10">
        <v>41013</v>
      </c>
      <c r="L829" s="10">
        <v>41131</v>
      </c>
      <c r="M829" s="11">
        <f>IF(ISBLANK(K829),0,IF(ISBLANK(L829),0,L829-K829+1))</f>
        <v>119</v>
      </c>
      <c r="N829" s="11">
        <f t="shared" si="1"/>
        <v>119</v>
      </c>
      <c r="O829" s="8" t="s">
        <v>27</v>
      </c>
      <c r="P829" s="8">
        <v>10</v>
      </c>
      <c r="Q829" s="14"/>
      <c r="R829" s="14"/>
      <c r="S829" s="14"/>
      <c r="T829" s="14"/>
      <c r="U829" s="14"/>
      <c r="V829" s="14"/>
      <c r="W829" s="14"/>
      <c r="X829" s="14"/>
      <c r="Y829" s="14"/>
      <c r="Z829" s="14"/>
      <c r="AA829" s="14"/>
    </row>
    <row r="830" spans="1:27" ht="15.75" hidden="1" customHeight="1" x14ac:dyDescent="0.2">
      <c r="A830" s="7" t="s">
        <v>443</v>
      </c>
      <c r="B830" s="7" t="s">
        <v>431</v>
      </c>
      <c r="C830" s="7" t="s">
        <v>545</v>
      </c>
      <c r="D830" s="8">
        <v>10</v>
      </c>
      <c r="E830" s="9">
        <v>192541</v>
      </c>
      <c r="F830" s="9">
        <v>1056411</v>
      </c>
      <c r="G830" s="9">
        <v>9.5455199999999998</v>
      </c>
      <c r="H830" s="9">
        <v>-83.800529999999995</v>
      </c>
      <c r="I830" s="7">
        <v>2397</v>
      </c>
      <c r="J830" s="7" t="s">
        <v>20</v>
      </c>
      <c r="K830" s="10">
        <v>40646</v>
      </c>
      <c r="L830" s="10">
        <v>40692</v>
      </c>
      <c r="M830" s="11">
        <v>15</v>
      </c>
      <c r="N830" s="11">
        <f t="shared" si="1"/>
        <v>47</v>
      </c>
      <c r="O830" s="8"/>
      <c r="P830" s="8">
        <v>10</v>
      </c>
      <c r="Q830" s="14"/>
      <c r="R830" s="14"/>
      <c r="S830" s="14"/>
      <c r="T830" s="14"/>
      <c r="U830" s="14"/>
      <c r="V830" s="14"/>
      <c r="W830" s="14"/>
      <c r="X830" s="14"/>
      <c r="Y830" s="14"/>
      <c r="Z830" s="14"/>
      <c r="AA830" s="14"/>
    </row>
    <row r="831" spans="1:27" ht="15.75" hidden="1" customHeight="1" x14ac:dyDescent="0.2">
      <c r="A831" s="7" t="s">
        <v>438</v>
      </c>
      <c r="B831" s="7" t="s">
        <v>431</v>
      </c>
      <c r="C831" s="7" t="s">
        <v>466</v>
      </c>
      <c r="D831" s="8">
        <v>9</v>
      </c>
      <c r="E831" s="9">
        <v>193588</v>
      </c>
      <c r="F831" s="9">
        <v>1057035</v>
      </c>
      <c r="G831" s="9">
        <v>9.5512300000000003</v>
      </c>
      <c r="H831" s="9">
        <v>-83.791049999999998</v>
      </c>
      <c r="I831" s="7">
        <v>2621</v>
      </c>
      <c r="J831" s="7" t="s">
        <v>20</v>
      </c>
      <c r="K831" s="7"/>
      <c r="L831" s="7"/>
      <c r="M831" s="11">
        <f t="shared" ref="M831:M833" si="44">IF(ISBLANK(K831),0,IF(ISBLANK(L831),0,L831-K831+1))</f>
        <v>0</v>
      </c>
      <c r="N831" s="11">
        <f t="shared" si="1"/>
        <v>0</v>
      </c>
      <c r="O831" s="8"/>
      <c r="P831" s="8">
        <v>9</v>
      </c>
      <c r="Q831" s="14"/>
      <c r="R831" s="14"/>
      <c r="S831" s="14"/>
      <c r="T831" s="14"/>
      <c r="U831" s="14"/>
      <c r="V831" s="14"/>
      <c r="W831" s="14"/>
      <c r="X831" s="14"/>
      <c r="Y831" s="14"/>
      <c r="Z831" s="14"/>
      <c r="AA831" s="14"/>
    </row>
    <row r="832" spans="1:27" ht="15.75" hidden="1" customHeight="1" x14ac:dyDescent="0.2">
      <c r="A832" s="7" t="s">
        <v>452</v>
      </c>
      <c r="B832" s="7" t="s">
        <v>431</v>
      </c>
      <c r="C832" s="7" t="s">
        <v>466</v>
      </c>
      <c r="D832" s="8">
        <v>9</v>
      </c>
      <c r="E832" s="9">
        <v>193588</v>
      </c>
      <c r="F832" s="9">
        <v>1057035</v>
      </c>
      <c r="G832" s="9">
        <v>9.5512300000000003</v>
      </c>
      <c r="H832" s="9">
        <v>-83.791049999999998</v>
      </c>
      <c r="I832" s="7">
        <v>2621</v>
      </c>
      <c r="J832" s="7" t="s">
        <v>20</v>
      </c>
      <c r="K832" s="7"/>
      <c r="L832" s="7"/>
      <c r="M832" s="11">
        <f t="shared" si="44"/>
        <v>0</v>
      </c>
      <c r="N832" s="11">
        <f t="shared" si="1"/>
        <v>0</v>
      </c>
      <c r="O832" s="8"/>
      <c r="P832" s="8">
        <v>9</v>
      </c>
      <c r="Q832" s="14"/>
      <c r="R832" s="14"/>
      <c r="S832" s="14"/>
      <c r="T832" s="14"/>
      <c r="U832" s="14"/>
      <c r="V832" s="14"/>
      <c r="W832" s="14"/>
      <c r="X832" s="14"/>
      <c r="Y832" s="14"/>
      <c r="Z832" s="14"/>
      <c r="AA832" s="14"/>
    </row>
    <row r="833" spans="1:27" ht="15.75" hidden="1" customHeight="1" x14ac:dyDescent="0.2">
      <c r="A833" s="7" t="s">
        <v>453</v>
      </c>
      <c r="B833" s="7" t="s">
        <v>431</v>
      </c>
      <c r="C833" s="7" t="s">
        <v>466</v>
      </c>
      <c r="D833" s="8">
        <v>9</v>
      </c>
      <c r="E833" s="9">
        <v>193588</v>
      </c>
      <c r="F833" s="9">
        <v>1057035</v>
      </c>
      <c r="G833" s="9">
        <v>9.5512300000000003</v>
      </c>
      <c r="H833" s="9">
        <v>-83.791049999999998</v>
      </c>
      <c r="I833" s="7">
        <v>2621</v>
      </c>
      <c r="J833" s="7" t="s">
        <v>20</v>
      </c>
      <c r="K833" s="10">
        <v>40365</v>
      </c>
      <c r="L833" s="10">
        <v>40386</v>
      </c>
      <c r="M833" s="11">
        <f t="shared" si="44"/>
        <v>22</v>
      </c>
      <c r="N833" s="11">
        <f t="shared" si="1"/>
        <v>22</v>
      </c>
      <c r="O833" s="8"/>
      <c r="P833" s="8" t="s">
        <v>557</v>
      </c>
      <c r="Q833" s="14"/>
      <c r="R833" s="14"/>
      <c r="S833" s="14"/>
      <c r="T833" s="14"/>
      <c r="U833" s="14"/>
      <c r="V833" s="14"/>
      <c r="W833" s="14"/>
      <c r="X833" s="14"/>
      <c r="Y833" s="14"/>
      <c r="Z833" s="14"/>
      <c r="AA833" s="14"/>
    </row>
    <row r="834" spans="1:27" ht="15.75" hidden="1" customHeight="1" x14ac:dyDescent="0.2">
      <c r="A834" s="7" t="s">
        <v>443</v>
      </c>
      <c r="B834" s="7" t="s">
        <v>431</v>
      </c>
      <c r="C834" s="7" t="s">
        <v>466</v>
      </c>
      <c r="D834" s="8">
        <v>9</v>
      </c>
      <c r="E834" s="9">
        <v>193588</v>
      </c>
      <c r="F834" s="9">
        <v>1057035</v>
      </c>
      <c r="G834" s="9">
        <v>9.5512300000000003</v>
      </c>
      <c r="H834" s="9">
        <v>-83.791049999999998</v>
      </c>
      <c r="I834" s="7">
        <v>2621</v>
      </c>
      <c r="J834" s="7" t="s">
        <v>20</v>
      </c>
      <c r="K834" s="10">
        <v>40646</v>
      </c>
      <c r="L834" s="10">
        <v>40759</v>
      </c>
      <c r="M834" s="11">
        <v>47</v>
      </c>
      <c r="N834" s="11">
        <f t="shared" si="1"/>
        <v>114</v>
      </c>
      <c r="O834" s="8"/>
      <c r="P834" s="8">
        <v>9</v>
      </c>
      <c r="Q834" s="14"/>
      <c r="R834" s="14"/>
      <c r="S834" s="14"/>
      <c r="T834" s="14"/>
      <c r="U834" s="14"/>
      <c r="V834" s="14"/>
      <c r="W834" s="14"/>
      <c r="X834" s="14"/>
      <c r="Y834" s="14"/>
      <c r="Z834" s="14"/>
      <c r="AA834" s="14"/>
    </row>
    <row r="835" spans="1:27" ht="15.75" hidden="1" customHeight="1" x14ac:dyDescent="0.2">
      <c r="A835" s="7" t="s">
        <v>438</v>
      </c>
      <c r="B835" s="7" t="s">
        <v>431</v>
      </c>
      <c r="C835" s="7" t="s">
        <v>466</v>
      </c>
      <c r="D835" s="8">
        <v>8</v>
      </c>
      <c r="E835" s="9">
        <v>193536</v>
      </c>
      <c r="F835" s="9">
        <v>1056746</v>
      </c>
      <c r="G835" s="9">
        <v>9.5486299999999993</v>
      </c>
      <c r="H835" s="9">
        <v>-83.791579999999996</v>
      </c>
      <c r="I835" s="7">
        <v>2626</v>
      </c>
      <c r="J835" s="7" t="s">
        <v>20</v>
      </c>
      <c r="K835" s="7"/>
      <c r="L835" s="7"/>
      <c r="M835" s="11">
        <f t="shared" ref="M835:M838" si="45">IF(ISBLANK(K835),0,IF(ISBLANK(L835),0,L835-K835+1))</f>
        <v>0</v>
      </c>
      <c r="N835" s="11">
        <f t="shared" si="1"/>
        <v>0</v>
      </c>
      <c r="O835" s="8"/>
      <c r="P835" s="8">
        <v>8</v>
      </c>
      <c r="Q835" s="14"/>
      <c r="R835" s="14"/>
      <c r="S835" s="14"/>
      <c r="T835" s="14"/>
      <c r="U835" s="14"/>
      <c r="V835" s="14"/>
      <c r="W835" s="14"/>
      <c r="X835" s="14"/>
      <c r="Y835" s="14"/>
      <c r="Z835" s="14"/>
      <c r="AA835" s="14"/>
    </row>
    <row r="836" spans="1:27" ht="15.75" hidden="1" customHeight="1" x14ac:dyDescent="0.2">
      <c r="A836" s="7" t="s">
        <v>16</v>
      </c>
      <c r="B836" s="7" t="s">
        <v>431</v>
      </c>
      <c r="C836" s="7" t="s">
        <v>545</v>
      </c>
      <c r="D836" s="8">
        <v>8</v>
      </c>
      <c r="E836" s="9">
        <v>192595</v>
      </c>
      <c r="F836" s="9">
        <v>1056532</v>
      </c>
      <c r="G836" s="9">
        <v>9.5464830000000003</v>
      </c>
      <c r="H836" s="9">
        <v>-83.800133000000002</v>
      </c>
      <c r="I836" s="7">
        <v>2388</v>
      </c>
      <c r="J836" s="7" t="s">
        <v>20</v>
      </c>
      <c r="K836" s="10">
        <v>41505</v>
      </c>
      <c r="L836" s="10">
        <v>41633</v>
      </c>
      <c r="M836" s="11">
        <f t="shared" si="45"/>
        <v>129</v>
      </c>
      <c r="N836" s="11">
        <f t="shared" si="1"/>
        <v>129</v>
      </c>
      <c r="O836" s="8"/>
      <c r="P836" s="8">
        <v>42</v>
      </c>
      <c r="Q836" s="14"/>
      <c r="R836" s="14"/>
      <c r="S836" s="14"/>
      <c r="T836" s="14"/>
      <c r="U836" s="14"/>
      <c r="V836" s="14"/>
      <c r="W836" s="14"/>
      <c r="X836" s="14"/>
      <c r="Y836" s="14"/>
      <c r="Z836" s="14"/>
      <c r="AA836" s="14"/>
    </row>
    <row r="837" spans="1:27" ht="15.75" hidden="1" customHeight="1" x14ac:dyDescent="0.2">
      <c r="A837" s="7" t="s">
        <v>36</v>
      </c>
      <c r="B837" s="7" t="s">
        <v>431</v>
      </c>
      <c r="C837" s="7" t="s">
        <v>466</v>
      </c>
      <c r="D837" s="8">
        <v>8</v>
      </c>
      <c r="E837" s="9">
        <v>192595</v>
      </c>
      <c r="F837" s="9">
        <v>1056532</v>
      </c>
      <c r="G837" s="9">
        <v>9.5464830000000003</v>
      </c>
      <c r="H837" s="9">
        <v>-83.800133000000002</v>
      </c>
      <c r="I837" s="7">
        <v>2388</v>
      </c>
      <c r="J837" s="7" t="s">
        <v>20</v>
      </c>
      <c r="K837" s="10">
        <v>41942</v>
      </c>
      <c r="L837" s="10">
        <v>41961</v>
      </c>
      <c r="M837" s="11">
        <f t="shared" si="45"/>
        <v>20</v>
      </c>
      <c r="N837" s="11">
        <f t="shared" si="1"/>
        <v>20</v>
      </c>
      <c r="O837" s="8"/>
      <c r="P837" s="8">
        <v>42</v>
      </c>
      <c r="Q837" s="14"/>
      <c r="R837" s="14"/>
      <c r="S837" s="14"/>
      <c r="T837" s="14"/>
      <c r="U837" s="14"/>
      <c r="V837" s="14"/>
      <c r="W837" s="14"/>
      <c r="X837" s="14"/>
      <c r="Y837" s="14"/>
      <c r="Z837" s="14"/>
      <c r="AA837" s="14"/>
    </row>
    <row r="838" spans="1:27" ht="15.75" hidden="1" customHeight="1" x14ac:dyDescent="0.2">
      <c r="A838" s="7" t="s">
        <v>165</v>
      </c>
      <c r="B838" s="7" t="s">
        <v>431</v>
      </c>
      <c r="C838" s="7" t="s">
        <v>466</v>
      </c>
      <c r="D838" s="8">
        <v>8</v>
      </c>
      <c r="E838" s="9">
        <v>192595</v>
      </c>
      <c r="F838" s="9">
        <v>1056532</v>
      </c>
      <c r="G838" s="9">
        <v>9.5464830000000003</v>
      </c>
      <c r="H838" s="9">
        <v>-83.800133000000002</v>
      </c>
      <c r="I838" s="7">
        <v>2388</v>
      </c>
      <c r="J838" s="7" t="s">
        <v>20</v>
      </c>
      <c r="K838" s="10">
        <v>42624</v>
      </c>
      <c r="L838" s="10">
        <v>42700</v>
      </c>
      <c r="M838" s="11">
        <f t="shared" si="45"/>
        <v>77</v>
      </c>
      <c r="N838" s="11">
        <f t="shared" si="1"/>
        <v>77</v>
      </c>
      <c r="O838" s="8"/>
      <c r="P838" s="8">
        <v>42</v>
      </c>
      <c r="Q838" s="14"/>
      <c r="R838" s="14"/>
      <c r="S838" s="14"/>
      <c r="T838" s="14"/>
      <c r="U838" s="14"/>
      <c r="V838" s="14"/>
      <c r="W838" s="14"/>
      <c r="X838" s="14"/>
      <c r="Y838" s="14"/>
      <c r="Z838" s="14"/>
      <c r="AA838" s="14"/>
    </row>
    <row r="839" spans="1:27" ht="15.75" hidden="1" customHeight="1" x14ac:dyDescent="0.2">
      <c r="A839" s="7" t="s">
        <v>128</v>
      </c>
      <c r="B839" s="7" t="s">
        <v>431</v>
      </c>
      <c r="C839" s="7" t="s">
        <v>466</v>
      </c>
      <c r="D839" s="8">
        <v>8</v>
      </c>
      <c r="E839" s="9">
        <v>192595</v>
      </c>
      <c r="F839" s="9">
        <v>1056532</v>
      </c>
      <c r="G839" s="9">
        <v>9.5464830000000003</v>
      </c>
      <c r="H839" s="9">
        <v>-83.800133000000002</v>
      </c>
      <c r="I839" s="7">
        <v>2388</v>
      </c>
      <c r="J839" s="7" t="s">
        <v>20</v>
      </c>
      <c r="K839" s="10">
        <v>42893</v>
      </c>
      <c r="L839" s="10">
        <v>43101</v>
      </c>
      <c r="M839" s="11">
        <v>20</v>
      </c>
      <c r="N839" s="11">
        <f t="shared" si="1"/>
        <v>209</v>
      </c>
      <c r="O839" s="8"/>
      <c r="P839" s="8">
        <v>42</v>
      </c>
      <c r="Q839" s="14"/>
      <c r="R839" s="14"/>
      <c r="S839" s="14"/>
      <c r="T839" s="14"/>
      <c r="U839" s="14"/>
      <c r="V839" s="14"/>
      <c r="W839" s="14"/>
      <c r="X839" s="14"/>
      <c r="Y839" s="14"/>
      <c r="Z839" s="14"/>
      <c r="AA839" s="14"/>
    </row>
    <row r="840" spans="1:27" ht="15.75" hidden="1" customHeight="1" x14ac:dyDescent="0.2">
      <c r="A840" s="14" t="s">
        <v>287</v>
      </c>
      <c r="B840" s="14" t="s">
        <v>431</v>
      </c>
      <c r="C840" s="14" t="s">
        <v>466</v>
      </c>
      <c r="D840" s="8">
        <v>8</v>
      </c>
      <c r="E840" s="16">
        <v>192595</v>
      </c>
      <c r="F840" s="16">
        <v>1056532</v>
      </c>
      <c r="G840" s="16">
        <v>9.5464830000000003</v>
      </c>
      <c r="H840" s="16">
        <v>-83.800133000000002</v>
      </c>
      <c r="I840" s="14">
        <v>2388</v>
      </c>
      <c r="J840" s="14" t="s">
        <v>20</v>
      </c>
      <c r="K840" s="17">
        <v>43301</v>
      </c>
      <c r="L840" s="17">
        <v>43333</v>
      </c>
      <c r="M840" s="18">
        <f t="shared" ref="M840:M845" si="46">IF(ISBLANK(K840),0,IF(ISBLANK(L840),0,L840-K840+1))</f>
        <v>33</v>
      </c>
      <c r="N840" s="11">
        <f t="shared" si="1"/>
        <v>33</v>
      </c>
      <c r="O840" s="15" t="s">
        <v>558</v>
      </c>
      <c r="P840" s="15">
        <v>42</v>
      </c>
      <c r="Q840" s="14"/>
      <c r="R840" s="14"/>
      <c r="S840" s="14"/>
      <c r="T840" s="14"/>
      <c r="U840" s="14"/>
      <c r="V840" s="14"/>
      <c r="W840" s="14"/>
      <c r="X840" s="14"/>
      <c r="Y840" s="14"/>
      <c r="Z840" s="14"/>
      <c r="AA840" s="14"/>
    </row>
    <row r="841" spans="1:27" ht="15.75" hidden="1" customHeight="1" x14ac:dyDescent="0.2">
      <c r="A841" s="14" t="s">
        <v>287</v>
      </c>
      <c r="B841" s="14" t="s">
        <v>431</v>
      </c>
      <c r="C841" s="14" t="s">
        <v>466</v>
      </c>
      <c r="D841" s="15">
        <v>8</v>
      </c>
      <c r="E841" s="16">
        <v>192595</v>
      </c>
      <c r="F841" s="16">
        <v>1056532</v>
      </c>
      <c r="G841" s="16">
        <v>9.5464830000000003</v>
      </c>
      <c r="H841" s="16">
        <v>-83.800133000000002</v>
      </c>
      <c r="I841" s="14">
        <v>2388</v>
      </c>
      <c r="J841" s="14" t="s">
        <v>20</v>
      </c>
      <c r="K841" s="17">
        <v>43452</v>
      </c>
      <c r="L841" s="17">
        <v>43495</v>
      </c>
      <c r="M841" s="18">
        <f t="shared" si="46"/>
        <v>44</v>
      </c>
      <c r="N841" s="11">
        <f t="shared" si="1"/>
        <v>44</v>
      </c>
      <c r="O841" s="15" t="s">
        <v>559</v>
      </c>
      <c r="P841" s="15">
        <v>42</v>
      </c>
      <c r="Q841" s="14"/>
      <c r="R841" s="14"/>
      <c r="S841" s="14"/>
      <c r="T841" s="14"/>
      <c r="U841" s="14"/>
      <c r="V841" s="14"/>
      <c r="W841" s="14"/>
      <c r="X841" s="14"/>
      <c r="Y841" s="14"/>
      <c r="Z841" s="14"/>
      <c r="AA841" s="14"/>
    </row>
    <row r="842" spans="1:27" ht="15.75" hidden="1" customHeight="1" x14ac:dyDescent="0.2">
      <c r="A842" s="7" t="s">
        <v>40</v>
      </c>
      <c r="B842" s="7" t="s">
        <v>431</v>
      </c>
      <c r="C842" s="7" t="s">
        <v>466</v>
      </c>
      <c r="D842" s="15">
        <v>8</v>
      </c>
      <c r="E842" s="9">
        <v>192868</v>
      </c>
      <c r="F842" s="9">
        <v>1057081</v>
      </c>
      <c r="G842" s="9">
        <v>9.5464830000000003</v>
      </c>
      <c r="H842" s="9">
        <v>-83.800133000000002</v>
      </c>
      <c r="I842" s="7">
        <v>2556</v>
      </c>
      <c r="J842" s="7" t="s">
        <v>20</v>
      </c>
      <c r="K842" s="10">
        <v>41333</v>
      </c>
      <c r="L842" s="10">
        <v>41447</v>
      </c>
      <c r="M842" s="11">
        <f t="shared" si="46"/>
        <v>115</v>
      </c>
      <c r="N842" s="11">
        <f t="shared" si="1"/>
        <v>115</v>
      </c>
      <c r="O842" s="8"/>
      <c r="P842" s="8">
        <v>42</v>
      </c>
      <c r="Q842" s="14"/>
      <c r="R842" s="14"/>
      <c r="S842" s="14"/>
      <c r="T842" s="14"/>
      <c r="U842" s="14"/>
      <c r="V842" s="14"/>
      <c r="W842" s="14"/>
      <c r="X842" s="14"/>
      <c r="Y842" s="14"/>
      <c r="Z842" s="14"/>
      <c r="AA842" s="14"/>
    </row>
    <row r="843" spans="1:27" ht="15.75" hidden="1" customHeight="1" x14ac:dyDescent="0.2">
      <c r="A843" s="7" t="s">
        <v>42</v>
      </c>
      <c r="B843" s="7" t="s">
        <v>431</v>
      </c>
      <c r="C843" s="7" t="s">
        <v>545</v>
      </c>
      <c r="D843" s="15">
        <v>8</v>
      </c>
      <c r="E843" s="9">
        <v>192595</v>
      </c>
      <c r="F843" s="9">
        <v>1056532</v>
      </c>
      <c r="G843" s="9">
        <v>9.5464830000000003</v>
      </c>
      <c r="H843" s="9">
        <v>-83.800133000000002</v>
      </c>
      <c r="I843" s="7">
        <v>2388</v>
      </c>
      <c r="J843" s="7" t="s">
        <v>20</v>
      </c>
      <c r="K843" s="10">
        <v>41636</v>
      </c>
      <c r="L843" s="10">
        <v>41743</v>
      </c>
      <c r="M843" s="11">
        <f t="shared" si="46"/>
        <v>108</v>
      </c>
      <c r="N843" s="11">
        <f t="shared" si="1"/>
        <v>108</v>
      </c>
      <c r="O843" s="8"/>
      <c r="P843" s="8">
        <v>42</v>
      </c>
      <c r="Q843" s="14"/>
      <c r="R843" s="14"/>
      <c r="S843" s="14"/>
      <c r="T843" s="14"/>
      <c r="U843" s="14"/>
      <c r="V843" s="14"/>
      <c r="W843" s="14"/>
      <c r="X843" s="14"/>
      <c r="Y843" s="14"/>
      <c r="Z843" s="14"/>
      <c r="AA843" s="14"/>
    </row>
    <row r="844" spans="1:27" ht="15.75" hidden="1" customHeight="1" x14ac:dyDescent="0.2">
      <c r="A844" s="7" t="s">
        <v>47</v>
      </c>
      <c r="B844" s="7" t="s">
        <v>431</v>
      </c>
      <c r="C844" s="7" t="s">
        <v>466</v>
      </c>
      <c r="D844" s="15">
        <v>8</v>
      </c>
      <c r="E844" s="9">
        <v>192595</v>
      </c>
      <c r="F844" s="9">
        <v>1056532</v>
      </c>
      <c r="G844" s="9">
        <v>9.5464830000000003</v>
      </c>
      <c r="H844" s="9">
        <v>-83.800133000000002</v>
      </c>
      <c r="I844" s="7">
        <v>2388</v>
      </c>
      <c r="J844" s="7" t="s">
        <v>20</v>
      </c>
      <c r="K844" s="10">
        <v>42060</v>
      </c>
      <c r="L844" s="10">
        <v>42068</v>
      </c>
      <c r="M844" s="11">
        <f t="shared" si="46"/>
        <v>9</v>
      </c>
      <c r="N844" s="11">
        <f t="shared" si="1"/>
        <v>9</v>
      </c>
      <c r="O844" s="8"/>
      <c r="P844" s="8">
        <v>42</v>
      </c>
      <c r="Q844" s="14"/>
      <c r="R844" s="14"/>
      <c r="S844" s="14"/>
      <c r="T844" s="14"/>
      <c r="U844" s="14"/>
      <c r="V844" s="14"/>
      <c r="W844" s="14"/>
      <c r="X844" s="14"/>
      <c r="Y844" s="14"/>
      <c r="Z844" s="14"/>
      <c r="AA844" s="14"/>
    </row>
    <row r="845" spans="1:27" ht="15.75" hidden="1" customHeight="1" x14ac:dyDescent="0.2">
      <c r="A845" s="7" t="s">
        <v>130</v>
      </c>
      <c r="B845" s="7" t="s">
        <v>431</v>
      </c>
      <c r="C845" s="7" t="s">
        <v>466</v>
      </c>
      <c r="D845" s="15">
        <v>8</v>
      </c>
      <c r="E845" s="9">
        <v>192595</v>
      </c>
      <c r="F845" s="9">
        <v>1056532</v>
      </c>
      <c r="G845" s="9">
        <v>9.5464830000000003</v>
      </c>
      <c r="H845" s="9">
        <v>-83.800133000000002</v>
      </c>
      <c r="I845" s="7">
        <v>2388</v>
      </c>
      <c r="J845" s="7" t="s">
        <v>20</v>
      </c>
      <c r="K845" s="10">
        <v>42353</v>
      </c>
      <c r="L845" s="10">
        <v>42454</v>
      </c>
      <c r="M845" s="11">
        <f t="shared" si="46"/>
        <v>102</v>
      </c>
      <c r="N845" s="11">
        <f t="shared" si="1"/>
        <v>102</v>
      </c>
      <c r="O845" s="8"/>
      <c r="P845" s="8">
        <v>42</v>
      </c>
      <c r="Q845" s="14"/>
      <c r="R845" s="14"/>
      <c r="S845" s="14"/>
      <c r="T845" s="14"/>
      <c r="U845" s="14"/>
      <c r="V845" s="14"/>
      <c r="W845" s="14"/>
      <c r="X845" s="14"/>
      <c r="Y845" s="14"/>
      <c r="Z845" s="14"/>
      <c r="AA845" s="14"/>
    </row>
    <row r="846" spans="1:27" ht="15.75" hidden="1" customHeight="1" x14ac:dyDescent="0.2">
      <c r="A846" s="7" t="s">
        <v>131</v>
      </c>
      <c r="B846" s="7" t="s">
        <v>431</v>
      </c>
      <c r="C846" s="7" t="s">
        <v>466</v>
      </c>
      <c r="D846" s="15">
        <v>8</v>
      </c>
      <c r="E846" s="9">
        <v>192595</v>
      </c>
      <c r="F846" s="9">
        <v>1056532</v>
      </c>
      <c r="G846" s="9">
        <v>9.5464830000000003</v>
      </c>
      <c r="H846" s="9">
        <v>-83.800133000000002</v>
      </c>
      <c r="I846" s="7">
        <v>2388</v>
      </c>
      <c r="J846" s="7" t="s">
        <v>20</v>
      </c>
      <c r="K846" s="10">
        <v>42749</v>
      </c>
      <c r="L846" s="10">
        <v>42834</v>
      </c>
      <c r="M846" s="11">
        <v>34</v>
      </c>
      <c r="N846" s="11">
        <f t="shared" si="1"/>
        <v>86</v>
      </c>
      <c r="O846" s="8" t="s">
        <v>560</v>
      </c>
      <c r="P846" s="8">
        <v>42</v>
      </c>
      <c r="Q846" s="14"/>
      <c r="R846" s="14"/>
      <c r="S846" s="14"/>
      <c r="T846" s="14"/>
      <c r="U846" s="14"/>
      <c r="V846" s="14"/>
      <c r="W846" s="14"/>
      <c r="X846" s="14"/>
      <c r="Y846" s="14"/>
      <c r="Z846" s="14"/>
      <c r="AA846" s="14"/>
    </row>
    <row r="847" spans="1:27" ht="15.75" hidden="1" customHeight="1" x14ac:dyDescent="0.2">
      <c r="A847" s="7" t="s">
        <v>132</v>
      </c>
      <c r="B847" s="7" t="s">
        <v>431</v>
      </c>
      <c r="C847" s="7" t="s">
        <v>466</v>
      </c>
      <c r="D847" s="15">
        <v>8</v>
      </c>
      <c r="E847" s="9">
        <v>192595</v>
      </c>
      <c r="F847" s="9">
        <v>1056532</v>
      </c>
      <c r="G847" s="9">
        <v>9.5464830000000003</v>
      </c>
      <c r="H847" s="9">
        <v>-83.800133000000002</v>
      </c>
      <c r="I847" s="7">
        <v>2388</v>
      </c>
      <c r="J847" s="7" t="s">
        <v>20</v>
      </c>
      <c r="K847" s="10">
        <v>43110</v>
      </c>
      <c r="L847" s="10">
        <v>43274</v>
      </c>
      <c r="M847" s="11">
        <v>92</v>
      </c>
      <c r="N847" s="11">
        <f t="shared" si="1"/>
        <v>165</v>
      </c>
      <c r="O847" s="8"/>
      <c r="P847" s="8">
        <v>42</v>
      </c>
      <c r="Q847" s="14"/>
      <c r="R847" s="14"/>
      <c r="S847" s="14"/>
      <c r="T847" s="14"/>
      <c r="U847" s="14"/>
      <c r="V847" s="14"/>
      <c r="W847" s="14"/>
      <c r="X847" s="14"/>
      <c r="Y847" s="14"/>
      <c r="Z847" s="14"/>
      <c r="AA847" s="14"/>
    </row>
    <row r="848" spans="1:27" ht="15.75" hidden="1" customHeight="1" x14ac:dyDescent="0.2">
      <c r="A848" s="14" t="s">
        <v>230</v>
      </c>
      <c r="B848" s="14" t="s">
        <v>431</v>
      </c>
      <c r="C848" s="14" t="s">
        <v>466</v>
      </c>
      <c r="D848" s="15">
        <v>8</v>
      </c>
      <c r="E848" s="16">
        <v>192595</v>
      </c>
      <c r="F848" s="16">
        <v>1056532</v>
      </c>
      <c r="G848" s="16">
        <v>9.5464830000000003</v>
      </c>
      <c r="H848" s="16">
        <v>-83.800133000000002</v>
      </c>
      <c r="I848" s="14">
        <v>2388</v>
      </c>
      <c r="J848" s="14" t="s">
        <v>20</v>
      </c>
      <c r="K848" s="17">
        <v>43495</v>
      </c>
      <c r="L848" s="17">
        <v>43511</v>
      </c>
      <c r="M848" s="18">
        <f t="shared" ref="M848:M854" si="47">IF(ISBLANK(K848),0,IF(ISBLANK(L848),0,L848-K848+1))</f>
        <v>17</v>
      </c>
      <c r="N848" s="11">
        <f t="shared" si="1"/>
        <v>17</v>
      </c>
      <c r="O848" s="15" t="s">
        <v>561</v>
      </c>
      <c r="P848" s="15">
        <v>42</v>
      </c>
      <c r="Q848" s="14"/>
      <c r="R848" s="14"/>
      <c r="S848" s="14"/>
      <c r="T848" s="14"/>
      <c r="U848" s="14"/>
      <c r="V848" s="14"/>
      <c r="W848" s="14"/>
      <c r="X848" s="14"/>
      <c r="Y848" s="14"/>
      <c r="Z848" s="14"/>
      <c r="AA848" s="14"/>
    </row>
    <row r="849" spans="1:27" ht="15.75" hidden="1" customHeight="1" x14ac:dyDescent="0.2">
      <c r="A849" s="14" t="s">
        <v>230</v>
      </c>
      <c r="B849" s="14" t="s">
        <v>431</v>
      </c>
      <c r="C849" s="14" t="s">
        <v>466</v>
      </c>
      <c r="D849" s="15">
        <v>8</v>
      </c>
      <c r="E849" s="16">
        <v>192595</v>
      </c>
      <c r="F849" s="16">
        <v>1056532</v>
      </c>
      <c r="G849" s="16">
        <v>9.5464830000000003</v>
      </c>
      <c r="H849" s="16">
        <v>-83.800133000000002</v>
      </c>
      <c r="I849" s="14">
        <v>2388</v>
      </c>
      <c r="J849" s="14" t="s">
        <v>20</v>
      </c>
      <c r="K849" s="17">
        <v>43518</v>
      </c>
      <c r="L849" s="17">
        <v>43518</v>
      </c>
      <c r="M849" s="18">
        <f t="shared" si="47"/>
        <v>1</v>
      </c>
      <c r="N849" s="11">
        <f t="shared" si="1"/>
        <v>1</v>
      </c>
      <c r="O849" s="15" t="s">
        <v>562</v>
      </c>
      <c r="P849" s="15">
        <v>42</v>
      </c>
      <c r="Q849" s="14"/>
      <c r="R849" s="14"/>
      <c r="S849" s="14"/>
      <c r="T849" s="14"/>
      <c r="U849" s="14"/>
      <c r="V849" s="14"/>
      <c r="W849" s="14"/>
      <c r="X849" s="14"/>
      <c r="Y849" s="14"/>
      <c r="Z849" s="14"/>
      <c r="AA849" s="14"/>
    </row>
    <row r="850" spans="1:27" ht="15.75" hidden="1" customHeight="1" x14ac:dyDescent="0.2">
      <c r="A850" s="14" t="s">
        <v>230</v>
      </c>
      <c r="B850" s="14" t="s">
        <v>431</v>
      </c>
      <c r="C850" s="14" t="s">
        <v>466</v>
      </c>
      <c r="D850" s="15">
        <v>8</v>
      </c>
      <c r="E850" s="16">
        <v>192595</v>
      </c>
      <c r="F850" s="16">
        <v>1056532</v>
      </c>
      <c r="G850" s="16">
        <v>9.5464830000000003</v>
      </c>
      <c r="H850" s="16">
        <v>-83.800133000000002</v>
      </c>
      <c r="I850" s="14">
        <v>2388</v>
      </c>
      <c r="J850" s="14" t="s">
        <v>20</v>
      </c>
      <c r="K850" s="17">
        <v>43539</v>
      </c>
      <c r="L850" s="17">
        <v>43545</v>
      </c>
      <c r="M850" s="18">
        <f t="shared" si="47"/>
        <v>7</v>
      </c>
      <c r="N850" s="11">
        <f t="shared" si="1"/>
        <v>7</v>
      </c>
      <c r="O850" s="15" t="s">
        <v>563</v>
      </c>
      <c r="P850" s="15">
        <v>42</v>
      </c>
      <c r="Q850" s="14"/>
      <c r="R850" s="14"/>
      <c r="S850" s="14"/>
      <c r="T850" s="14"/>
      <c r="U850" s="14"/>
      <c r="V850" s="14"/>
      <c r="W850" s="14"/>
      <c r="X850" s="14"/>
      <c r="Y850" s="14"/>
      <c r="Z850" s="14"/>
      <c r="AA850" s="14"/>
    </row>
    <row r="851" spans="1:27" ht="15.75" hidden="1" customHeight="1" x14ac:dyDescent="0.2">
      <c r="A851" s="14" t="s">
        <v>230</v>
      </c>
      <c r="B851" s="14" t="s">
        <v>431</v>
      </c>
      <c r="C851" s="14" t="s">
        <v>466</v>
      </c>
      <c r="D851" s="15">
        <v>8</v>
      </c>
      <c r="E851" s="16">
        <v>192595</v>
      </c>
      <c r="F851" s="16">
        <v>1056532</v>
      </c>
      <c r="G851" s="16">
        <v>9.5464830000000003</v>
      </c>
      <c r="H851" s="16">
        <v>-83.800133000000002</v>
      </c>
      <c r="I851" s="14">
        <v>2388</v>
      </c>
      <c r="J851" s="14" t="s">
        <v>20</v>
      </c>
      <c r="K851" s="17">
        <v>43553</v>
      </c>
      <c r="L851" s="17">
        <v>43574</v>
      </c>
      <c r="M851" s="18">
        <f t="shared" si="47"/>
        <v>22</v>
      </c>
      <c r="N851" s="11">
        <f t="shared" si="1"/>
        <v>22</v>
      </c>
      <c r="O851" s="15" t="s">
        <v>564</v>
      </c>
      <c r="P851" s="15">
        <v>42</v>
      </c>
      <c r="Q851" s="14"/>
      <c r="R851" s="14"/>
      <c r="S851" s="14"/>
      <c r="T851" s="14"/>
      <c r="U851" s="14"/>
      <c r="V851" s="14"/>
      <c r="W851" s="14"/>
      <c r="X851" s="14"/>
      <c r="Y851" s="14"/>
      <c r="Z851" s="14"/>
      <c r="AA851" s="14"/>
    </row>
    <row r="852" spans="1:27" ht="15.75" hidden="1" customHeight="1" x14ac:dyDescent="0.2">
      <c r="A852" s="7" t="s">
        <v>193</v>
      </c>
      <c r="B852" s="7" t="s">
        <v>431</v>
      </c>
      <c r="C852" s="7" t="s">
        <v>545</v>
      </c>
      <c r="D852" s="15">
        <v>8</v>
      </c>
      <c r="E852" s="9">
        <v>192580</v>
      </c>
      <c r="F852" s="9">
        <v>1056527</v>
      </c>
      <c r="G852" s="9">
        <v>9.5464830000000003</v>
      </c>
      <c r="H852" s="9">
        <v>-83.800133000000002</v>
      </c>
      <c r="I852" s="7">
        <v>2381</v>
      </c>
      <c r="J852" s="7" t="s">
        <v>20</v>
      </c>
      <c r="K852" s="10">
        <v>41455</v>
      </c>
      <c r="L852" s="10">
        <v>41489</v>
      </c>
      <c r="M852" s="11">
        <f t="shared" si="47"/>
        <v>35</v>
      </c>
      <c r="N852" s="11">
        <f t="shared" si="1"/>
        <v>35</v>
      </c>
      <c r="O852" s="8"/>
      <c r="P852" s="8">
        <v>42</v>
      </c>
      <c r="Q852" s="14"/>
      <c r="R852" s="14"/>
      <c r="S852" s="14"/>
      <c r="T852" s="14"/>
      <c r="U852" s="14"/>
      <c r="V852" s="14"/>
      <c r="W852" s="14"/>
      <c r="X852" s="14"/>
      <c r="Y852" s="14"/>
      <c r="Z852" s="14"/>
      <c r="AA852" s="14"/>
    </row>
    <row r="853" spans="1:27" ht="15.75" hidden="1" customHeight="1" x14ac:dyDescent="0.2">
      <c r="A853" s="7" t="s">
        <v>182</v>
      </c>
      <c r="B853" s="7" t="s">
        <v>431</v>
      </c>
      <c r="C853" s="7" t="s">
        <v>545</v>
      </c>
      <c r="D853" s="15">
        <v>8</v>
      </c>
      <c r="E853" s="9">
        <v>192595</v>
      </c>
      <c r="F853" s="9">
        <v>1056532</v>
      </c>
      <c r="G853" s="9">
        <v>9.5464830000000003</v>
      </c>
      <c r="H853" s="9">
        <v>-83.800133000000002</v>
      </c>
      <c r="I853" s="7">
        <v>2388</v>
      </c>
      <c r="J853" s="7" t="s">
        <v>20</v>
      </c>
      <c r="K853" s="10">
        <v>41810</v>
      </c>
      <c r="L853" s="10">
        <v>41846</v>
      </c>
      <c r="M853" s="11">
        <f t="shared" si="47"/>
        <v>37</v>
      </c>
      <c r="N853" s="11">
        <f t="shared" si="1"/>
        <v>37</v>
      </c>
      <c r="O853" s="8"/>
      <c r="P853" s="8">
        <v>42</v>
      </c>
      <c r="Q853" s="14"/>
      <c r="R853" s="14"/>
      <c r="S853" s="14"/>
      <c r="T853" s="14"/>
      <c r="U853" s="14"/>
      <c r="V853" s="14"/>
      <c r="W853" s="14"/>
      <c r="X853" s="14"/>
      <c r="Y853" s="14"/>
      <c r="Z853" s="14"/>
      <c r="AA853" s="14"/>
    </row>
    <row r="854" spans="1:27" ht="15.75" hidden="1" customHeight="1" x14ac:dyDescent="0.2">
      <c r="A854" s="7" t="s">
        <v>133</v>
      </c>
      <c r="B854" s="7" t="s">
        <v>431</v>
      </c>
      <c r="C854" s="7" t="s">
        <v>466</v>
      </c>
      <c r="D854" s="15">
        <v>8</v>
      </c>
      <c r="E854" s="9">
        <v>192595</v>
      </c>
      <c r="F854" s="9">
        <v>1056532</v>
      </c>
      <c r="G854" s="9">
        <v>9.5464830000000003</v>
      </c>
      <c r="H854" s="9">
        <v>-83.800133000000002</v>
      </c>
      <c r="I854" s="7">
        <v>2388</v>
      </c>
      <c r="J854" s="7" t="s">
        <v>20</v>
      </c>
      <c r="K854" s="10">
        <v>42159</v>
      </c>
      <c r="L854" s="10">
        <v>42179</v>
      </c>
      <c r="M854" s="11">
        <f t="shared" si="47"/>
        <v>21</v>
      </c>
      <c r="N854" s="11">
        <f t="shared" si="1"/>
        <v>21</v>
      </c>
      <c r="O854" s="8"/>
      <c r="P854" s="8">
        <v>42</v>
      </c>
      <c r="Q854" s="14"/>
      <c r="R854" s="14"/>
      <c r="S854" s="14"/>
      <c r="T854" s="14"/>
      <c r="U854" s="14"/>
      <c r="V854" s="14"/>
      <c r="W854" s="14"/>
      <c r="X854" s="14"/>
      <c r="Y854" s="14"/>
      <c r="Z854" s="14"/>
      <c r="AA854" s="14"/>
    </row>
    <row r="855" spans="1:27" ht="15.75" hidden="1" customHeight="1" x14ac:dyDescent="0.2">
      <c r="A855" s="7" t="s">
        <v>134</v>
      </c>
      <c r="B855" s="7" t="s">
        <v>431</v>
      </c>
      <c r="C855" s="7" t="s">
        <v>466</v>
      </c>
      <c r="D855" s="15">
        <v>8</v>
      </c>
      <c r="E855" s="9">
        <v>192595</v>
      </c>
      <c r="F855" s="9">
        <v>1056532</v>
      </c>
      <c r="G855" s="9">
        <v>9.5464830000000003</v>
      </c>
      <c r="H855" s="9">
        <v>-83.800133000000002</v>
      </c>
      <c r="I855" s="7">
        <v>2388</v>
      </c>
      <c r="J855" s="7" t="s">
        <v>20</v>
      </c>
      <c r="K855" s="10">
        <v>42551</v>
      </c>
      <c r="L855" s="10">
        <v>42623</v>
      </c>
      <c r="M855" s="11">
        <v>46</v>
      </c>
      <c r="N855" s="11">
        <f t="shared" si="1"/>
        <v>73</v>
      </c>
      <c r="O855" s="8"/>
      <c r="P855" s="8">
        <v>42</v>
      </c>
      <c r="Q855" s="14"/>
      <c r="R855" s="14"/>
      <c r="S855" s="14"/>
      <c r="T855" s="14"/>
      <c r="U855" s="14"/>
      <c r="V855" s="14"/>
      <c r="W855" s="14"/>
      <c r="X855" s="14"/>
      <c r="Y855" s="14"/>
      <c r="Z855" s="14"/>
      <c r="AA855" s="14"/>
    </row>
    <row r="856" spans="1:27" ht="15.75" hidden="1" customHeight="1" x14ac:dyDescent="0.2">
      <c r="A856" s="7" t="s">
        <v>186</v>
      </c>
      <c r="B856" s="7" t="s">
        <v>431</v>
      </c>
      <c r="C856" s="7" t="s">
        <v>466</v>
      </c>
      <c r="D856" s="15">
        <v>8</v>
      </c>
      <c r="E856" s="9">
        <v>192595</v>
      </c>
      <c r="F856" s="9">
        <v>1056532</v>
      </c>
      <c r="G856" s="9">
        <v>9.5464830000000003</v>
      </c>
      <c r="H856" s="9">
        <v>-83.800133000000002</v>
      </c>
      <c r="I856" s="7">
        <v>2388</v>
      </c>
      <c r="J856" s="7" t="s">
        <v>20</v>
      </c>
      <c r="K856" s="10">
        <v>42880</v>
      </c>
      <c r="L856" s="10">
        <v>42893</v>
      </c>
      <c r="M856" s="11">
        <f t="shared" ref="M856:M861" si="48">IF(ISBLANK(K856),0,IF(ISBLANK(L856),0,L856-K856+1))</f>
        <v>14</v>
      </c>
      <c r="N856" s="11">
        <f t="shared" si="1"/>
        <v>14</v>
      </c>
      <c r="O856" s="8"/>
      <c r="P856" s="8">
        <v>42</v>
      </c>
      <c r="Q856" s="14"/>
      <c r="R856" s="14"/>
      <c r="S856" s="14"/>
      <c r="T856" s="14"/>
      <c r="U856" s="14"/>
      <c r="V856" s="14"/>
      <c r="W856" s="14"/>
      <c r="X856" s="14"/>
      <c r="Y856" s="14"/>
      <c r="Z856" s="14"/>
      <c r="AA856" s="14"/>
    </row>
    <row r="857" spans="1:27" ht="15.75" hidden="1" customHeight="1" x14ac:dyDescent="0.2">
      <c r="A857" s="7" t="s">
        <v>297</v>
      </c>
      <c r="B857" s="7" t="s">
        <v>431</v>
      </c>
      <c r="C857" s="7" t="s">
        <v>466</v>
      </c>
      <c r="D857" s="15">
        <v>8</v>
      </c>
      <c r="E857" s="9">
        <v>192595</v>
      </c>
      <c r="F857" s="9">
        <v>1056532</v>
      </c>
      <c r="G857" s="9">
        <v>9.5464830000000003</v>
      </c>
      <c r="H857" s="9">
        <v>-83.800133000000002</v>
      </c>
      <c r="I857" s="7">
        <v>2388</v>
      </c>
      <c r="J857" s="7" t="s">
        <v>20</v>
      </c>
      <c r="K857" s="10">
        <v>43276</v>
      </c>
      <c r="L857" s="10">
        <v>43301</v>
      </c>
      <c r="M857" s="11">
        <f t="shared" si="48"/>
        <v>26</v>
      </c>
      <c r="N857" s="11">
        <f t="shared" si="1"/>
        <v>26</v>
      </c>
      <c r="O857" s="8"/>
      <c r="P857" s="8">
        <v>42</v>
      </c>
      <c r="Q857" s="14"/>
      <c r="R857" s="14"/>
      <c r="S857" s="14"/>
      <c r="T857" s="14"/>
      <c r="U857" s="14"/>
      <c r="V857" s="14"/>
      <c r="W857" s="14"/>
      <c r="X857" s="14"/>
      <c r="Y857" s="14"/>
      <c r="Z857" s="14"/>
      <c r="AA857" s="14"/>
    </row>
    <row r="858" spans="1:27" ht="15.75" hidden="1" customHeight="1" x14ac:dyDescent="0.2">
      <c r="A858" s="20" t="s">
        <v>297</v>
      </c>
      <c r="B858" s="20" t="s">
        <v>431</v>
      </c>
      <c r="C858" s="20" t="s">
        <v>466</v>
      </c>
      <c r="D858" s="15">
        <v>8</v>
      </c>
      <c r="E858" s="22">
        <v>192595</v>
      </c>
      <c r="F858" s="22">
        <v>1056532</v>
      </c>
      <c r="G858" s="22">
        <v>9.5464830000000003</v>
      </c>
      <c r="H858" s="22">
        <v>-83.800133000000002</v>
      </c>
      <c r="I858" s="20">
        <v>2388</v>
      </c>
      <c r="J858" s="20" t="s">
        <v>20</v>
      </c>
      <c r="K858" s="23"/>
      <c r="L858" s="23"/>
      <c r="M858" s="24">
        <f t="shared" si="48"/>
        <v>0</v>
      </c>
      <c r="N858" s="11">
        <f t="shared" si="1"/>
        <v>0</v>
      </c>
      <c r="O858" s="25"/>
      <c r="P858" s="21">
        <v>42</v>
      </c>
      <c r="Q858" s="14"/>
      <c r="R858" s="14"/>
      <c r="S858" s="14"/>
      <c r="T858" s="14"/>
      <c r="U858" s="14"/>
      <c r="V858" s="14"/>
      <c r="W858" s="14"/>
      <c r="X858" s="14"/>
      <c r="Y858" s="14"/>
      <c r="Z858" s="14"/>
      <c r="AA858" s="14"/>
    </row>
    <row r="859" spans="1:27" ht="15.75" hidden="1" customHeight="1" x14ac:dyDescent="0.2">
      <c r="A859" s="14" t="s">
        <v>444</v>
      </c>
      <c r="B859" s="14" t="s">
        <v>431</v>
      </c>
      <c r="C859" s="14" t="s">
        <v>466</v>
      </c>
      <c r="D859" s="15">
        <v>8</v>
      </c>
      <c r="E859" s="16">
        <v>192595</v>
      </c>
      <c r="F859" s="16">
        <v>1056532</v>
      </c>
      <c r="G859" s="16">
        <v>9.5464830000000003</v>
      </c>
      <c r="H859" s="16">
        <v>-83.800133000000002</v>
      </c>
      <c r="I859" s="14">
        <v>2388</v>
      </c>
      <c r="J859" s="14" t="s">
        <v>20</v>
      </c>
      <c r="K859" s="17">
        <v>43649</v>
      </c>
      <c r="L859" s="17">
        <v>43662</v>
      </c>
      <c r="M859" s="18">
        <f t="shared" si="48"/>
        <v>14</v>
      </c>
      <c r="N859" s="11">
        <f t="shared" si="1"/>
        <v>14</v>
      </c>
      <c r="O859" s="15" t="s">
        <v>565</v>
      </c>
      <c r="P859" s="15">
        <v>42</v>
      </c>
      <c r="Q859" s="14"/>
      <c r="R859" s="14"/>
      <c r="S859" s="14"/>
      <c r="T859" s="14"/>
      <c r="U859" s="14"/>
      <c r="V859" s="14"/>
      <c r="W859" s="14"/>
      <c r="X859" s="14"/>
      <c r="Y859" s="14"/>
      <c r="Z859" s="14"/>
      <c r="AA859" s="14"/>
    </row>
    <row r="860" spans="1:27" ht="15.75" hidden="1" customHeight="1" x14ac:dyDescent="0.2">
      <c r="A860" s="7" t="s">
        <v>36</v>
      </c>
      <c r="B860" s="7" t="s">
        <v>431</v>
      </c>
      <c r="C860" s="7" t="s">
        <v>466</v>
      </c>
      <c r="D860" s="8">
        <v>7</v>
      </c>
      <c r="E860" s="9">
        <v>192848</v>
      </c>
      <c r="F860" s="9">
        <v>1055932</v>
      </c>
      <c r="G860" s="9">
        <v>9.5412499999999998</v>
      </c>
      <c r="H860" s="9">
        <v>-83.797667000000004</v>
      </c>
      <c r="I860" s="7">
        <v>2527</v>
      </c>
      <c r="J860" s="7" t="s">
        <v>20</v>
      </c>
      <c r="K860" s="10">
        <v>41849</v>
      </c>
      <c r="L860" s="10">
        <v>42006</v>
      </c>
      <c r="M860" s="11">
        <f t="shared" si="48"/>
        <v>158</v>
      </c>
      <c r="N860" s="11">
        <f t="shared" si="1"/>
        <v>158</v>
      </c>
      <c r="O860" s="8"/>
      <c r="P860" s="8">
        <v>41</v>
      </c>
      <c r="Q860" s="14"/>
      <c r="R860" s="14"/>
      <c r="S860" s="14"/>
      <c r="T860" s="14"/>
      <c r="U860" s="14"/>
      <c r="V860" s="14"/>
      <c r="W860" s="14"/>
      <c r="X860" s="14"/>
      <c r="Y860" s="14"/>
      <c r="Z860" s="14"/>
      <c r="AA860" s="14"/>
    </row>
    <row r="861" spans="1:27" ht="15.75" hidden="1" customHeight="1" x14ac:dyDescent="0.2">
      <c r="A861" s="7" t="s">
        <v>165</v>
      </c>
      <c r="B861" s="7" t="s">
        <v>431</v>
      </c>
      <c r="C861" s="7" t="s">
        <v>466</v>
      </c>
      <c r="D861" s="8">
        <v>7</v>
      </c>
      <c r="E861" s="9">
        <v>192848</v>
      </c>
      <c r="F861" s="9">
        <v>1055932</v>
      </c>
      <c r="G861" s="9">
        <v>9.5412499999999998</v>
      </c>
      <c r="H861" s="9">
        <v>-83.797667000000004</v>
      </c>
      <c r="I861" s="7">
        <v>2527</v>
      </c>
      <c r="J861" s="7" t="s">
        <v>20</v>
      </c>
      <c r="K861" s="10">
        <v>42624</v>
      </c>
      <c r="L861" s="10">
        <v>42748</v>
      </c>
      <c r="M861" s="11">
        <f t="shared" si="48"/>
        <v>125</v>
      </c>
      <c r="N861" s="11">
        <f t="shared" si="1"/>
        <v>125</v>
      </c>
      <c r="O861" s="8" t="s">
        <v>566</v>
      </c>
      <c r="P861" s="8">
        <v>41</v>
      </c>
      <c r="Q861" s="14"/>
      <c r="R861" s="14"/>
      <c r="S861" s="14"/>
      <c r="T861" s="14"/>
      <c r="U861" s="14"/>
      <c r="V861" s="14"/>
      <c r="W861" s="14"/>
      <c r="X861" s="14"/>
      <c r="Y861" s="14"/>
      <c r="Z861" s="14"/>
      <c r="AA861" s="14"/>
    </row>
    <row r="862" spans="1:27" ht="15.75" hidden="1" customHeight="1" x14ac:dyDescent="0.2">
      <c r="A862" s="7" t="s">
        <v>128</v>
      </c>
      <c r="B862" s="7" t="s">
        <v>431</v>
      </c>
      <c r="C862" s="7" t="s">
        <v>466</v>
      </c>
      <c r="D862" s="8">
        <v>7</v>
      </c>
      <c r="E862" s="9">
        <v>192848</v>
      </c>
      <c r="F862" s="9">
        <v>1055932</v>
      </c>
      <c r="G862" s="9">
        <v>9.5412499999999998</v>
      </c>
      <c r="H862" s="9">
        <v>-83.797667000000004</v>
      </c>
      <c r="I862" s="7">
        <v>2527</v>
      </c>
      <c r="J862" s="7" t="s">
        <v>20</v>
      </c>
      <c r="K862" s="10">
        <v>42893</v>
      </c>
      <c r="L862" s="10">
        <v>43101</v>
      </c>
      <c r="M862" s="11">
        <v>193</v>
      </c>
      <c r="N862" s="11">
        <f t="shared" si="1"/>
        <v>209</v>
      </c>
      <c r="O862" s="8"/>
      <c r="P862" s="8">
        <v>41</v>
      </c>
      <c r="Q862" s="14"/>
      <c r="R862" s="14"/>
      <c r="S862" s="14"/>
      <c r="T862" s="14"/>
      <c r="U862" s="14"/>
      <c r="V862" s="14"/>
      <c r="W862" s="14"/>
      <c r="X862" s="14"/>
      <c r="Y862" s="14"/>
      <c r="Z862" s="14"/>
      <c r="AA862" s="14"/>
    </row>
    <row r="863" spans="1:27" ht="15.75" hidden="1" customHeight="1" x14ac:dyDescent="0.2">
      <c r="A863" s="14" t="s">
        <v>287</v>
      </c>
      <c r="B863" s="14" t="s">
        <v>431</v>
      </c>
      <c r="C863" s="14" t="s">
        <v>466</v>
      </c>
      <c r="D863" s="8">
        <v>7</v>
      </c>
      <c r="E863" s="16">
        <v>192848</v>
      </c>
      <c r="F863" s="16">
        <v>1055932</v>
      </c>
      <c r="G863" s="16">
        <v>9.5412499999999998</v>
      </c>
      <c r="H863" s="16">
        <v>-83.797667000000004</v>
      </c>
      <c r="I863" s="14">
        <v>2527</v>
      </c>
      <c r="J863" s="14" t="s">
        <v>20</v>
      </c>
      <c r="K863" s="17">
        <v>43301</v>
      </c>
      <c r="L863" s="17">
        <v>43452</v>
      </c>
      <c r="M863" s="18">
        <f t="shared" ref="M863:M868" si="49">IF(ISBLANK(K863),0,IF(ISBLANK(L863),0,L863-K863+1))</f>
        <v>152</v>
      </c>
      <c r="N863" s="11">
        <f t="shared" si="1"/>
        <v>152</v>
      </c>
      <c r="O863" s="15" t="s">
        <v>567</v>
      </c>
      <c r="P863" s="15">
        <v>41</v>
      </c>
      <c r="Q863" s="14"/>
      <c r="R863" s="14"/>
      <c r="S863" s="14"/>
      <c r="T863" s="14"/>
      <c r="U863" s="14"/>
      <c r="V863" s="14"/>
      <c r="W863" s="14"/>
      <c r="X863" s="14"/>
      <c r="Y863" s="14"/>
      <c r="Z863" s="14"/>
      <c r="AA863" s="14"/>
    </row>
    <row r="864" spans="1:27" ht="15.75" hidden="1" customHeight="1" x14ac:dyDescent="0.2">
      <c r="A864" s="14" t="s">
        <v>287</v>
      </c>
      <c r="B864" s="14" t="s">
        <v>431</v>
      </c>
      <c r="C864" s="14" t="s">
        <v>466</v>
      </c>
      <c r="D864" s="8">
        <v>7</v>
      </c>
      <c r="E864" s="16">
        <v>192848</v>
      </c>
      <c r="F864" s="16">
        <v>1055932</v>
      </c>
      <c r="G864" s="16">
        <v>9.5412499999999998</v>
      </c>
      <c r="H864" s="16">
        <v>-83.797667000000004</v>
      </c>
      <c r="I864" s="14">
        <v>2527</v>
      </c>
      <c r="J864" s="14" t="s">
        <v>20</v>
      </c>
      <c r="K864" s="17">
        <v>43453</v>
      </c>
      <c r="L864" s="17">
        <v>43495</v>
      </c>
      <c r="M864" s="18">
        <f t="shared" si="49"/>
        <v>43</v>
      </c>
      <c r="N864" s="11">
        <f t="shared" si="1"/>
        <v>43</v>
      </c>
      <c r="O864" s="15" t="s">
        <v>568</v>
      </c>
      <c r="P864" s="15">
        <v>41</v>
      </c>
      <c r="Q864" s="14"/>
      <c r="R864" s="14"/>
      <c r="S864" s="14"/>
      <c r="T864" s="14"/>
      <c r="U864" s="14"/>
      <c r="V864" s="14"/>
      <c r="W864" s="14"/>
      <c r="X864" s="14"/>
      <c r="Y864" s="14"/>
      <c r="Z864" s="14"/>
      <c r="AA864" s="14"/>
    </row>
    <row r="865" spans="1:27" ht="15.75" hidden="1" customHeight="1" x14ac:dyDescent="0.2">
      <c r="A865" s="7" t="s">
        <v>40</v>
      </c>
      <c r="B865" s="7" t="s">
        <v>431</v>
      </c>
      <c r="C865" s="7" t="s">
        <v>466</v>
      </c>
      <c r="D865" s="8">
        <v>7</v>
      </c>
      <c r="E865" s="9">
        <v>192846</v>
      </c>
      <c r="F865" s="9">
        <v>1055940</v>
      </c>
      <c r="G865" s="9">
        <v>9.5412499999999998</v>
      </c>
      <c r="H865" s="9">
        <v>-83.797667000000004</v>
      </c>
      <c r="I865" s="7">
        <v>2500</v>
      </c>
      <c r="J865" s="7" t="s">
        <v>20</v>
      </c>
      <c r="K865" s="10">
        <v>41377</v>
      </c>
      <c r="L865" s="10">
        <v>41440</v>
      </c>
      <c r="M865" s="11">
        <f t="shared" si="49"/>
        <v>64</v>
      </c>
      <c r="N865" s="11">
        <f t="shared" si="1"/>
        <v>64</v>
      </c>
      <c r="O865" s="8"/>
      <c r="P865" s="8">
        <v>41</v>
      </c>
      <c r="Q865" s="14"/>
      <c r="R865" s="14"/>
      <c r="S865" s="14"/>
      <c r="T865" s="14"/>
      <c r="U865" s="14"/>
      <c r="V865" s="14"/>
      <c r="W865" s="14"/>
      <c r="X865" s="14"/>
      <c r="Y865" s="14"/>
      <c r="Z865" s="14"/>
      <c r="AA865" s="14"/>
    </row>
    <row r="866" spans="1:27" ht="15.75" hidden="1" customHeight="1" x14ac:dyDescent="0.2">
      <c r="A866" s="7" t="s">
        <v>42</v>
      </c>
      <c r="B866" s="7" t="s">
        <v>431</v>
      </c>
      <c r="C866" s="7" t="s">
        <v>466</v>
      </c>
      <c r="D866" s="8">
        <v>7</v>
      </c>
      <c r="E866" s="9">
        <v>192848</v>
      </c>
      <c r="F866" s="9">
        <v>1055932</v>
      </c>
      <c r="G866" s="9">
        <v>9.5412499999999998</v>
      </c>
      <c r="H866" s="9">
        <v>-83.797667000000004</v>
      </c>
      <c r="I866" s="7">
        <v>2527</v>
      </c>
      <c r="J866" s="7" t="s">
        <v>20</v>
      </c>
      <c r="K866" s="10">
        <v>41669</v>
      </c>
      <c r="L866" s="10">
        <v>41773</v>
      </c>
      <c r="M866" s="11">
        <f t="shared" si="49"/>
        <v>105</v>
      </c>
      <c r="N866" s="11">
        <f t="shared" si="1"/>
        <v>105</v>
      </c>
      <c r="O866" s="8"/>
      <c r="P866" s="8">
        <v>41</v>
      </c>
      <c r="Q866" s="14"/>
      <c r="R866" s="14"/>
      <c r="S866" s="14"/>
      <c r="T866" s="14"/>
      <c r="U866" s="14"/>
      <c r="V866" s="14"/>
      <c r="W866" s="14"/>
      <c r="X866" s="14"/>
      <c r="Y866" s="14"/>
      <c r="Z866" s="14"/>
      <c r="AA866" s="14"/>
    </row>
    <row r="867" spans="1:27" ht="15.75" hidden="1" customHeight="1" x14ac:dyDescent="0.2">
      <c r="A867" s="7" t="s">
        <v>47</v>
      </c>
      <c r="B867" s="7" t="s">
        <v>431</v>
      </c>
      <c r="C867" s="7" t="s">
        <v>466</v>
      </c>
      <c r="D867" s="8">
        <v>7</v>
      </c>
      <c r="E867" s="9">
        <v>192848</v>
      </c>
      <c r="F867" s="9">
        <v>1055932</v>
      </c>
      <c r="G867" s="9">
        <v>9.5412499999999998</v>
      </c>
      <c r="H867" s="9">
        <v>-83.797667000000004</v>
      </c>
      <c r="I867" s="7">
        <v>2527</v>
      </c>
      <c r="J867" s="7" t="s">
        <v>20</v>
      </c>
      <c r="K867" s="10">
        <v>42094</v>
      </c>
      <c r="L867" s="10">
        <v>42156</v>
      </c>
      <c r="M867" s="11">
        <f t="shared" si="49"/>
        <v>63</v>
      </c>
      <c r="N867" s="11">
        <f t="shared" si="1"/>
        <v>63</v>
      </c>
      <c r="O867" s="8"/>
      <c r="P867" s="8">
        <v>41</v>
      </c>
      <c r="Q867" s="14"/>
      <c r="R867" s="14"/>
      <c r="S867" s="14"/>
      <c r="T867" s="14"/>
      <c r="U867" s="14"/>
      <c r="V867" s="14"/>
      <c r="W867" s="14"/>
      <c r="X867" s="14"/>
      <c r="Y867" s="14"/>
      <c r="Z867" s="14"/>
      <c r="AA867" s="14"/>
    </row>
    <row r="868" spans="1:27" ht="15.75" hidden="1" customHeight="1" x14ac:dyDescent="0.2">
      <c r="A868" s="7" t="s">
        <v>130</v>
      </c>
      <c r="B868" s="7" t="s">
        <v>431</v>
      </c>
      <c r="C868" s="7" t="s">
        <v>466</v>
      </c>
      <c r="D868" s="8">
        <v>7</v>
      </c>
      <c r="E868" s="9">
        <v>192848</v>
      </c>
      <c r="F868" s="9">
        <v>1055932</v>
      </c>
      <c r="G868" s="9">
        <v>9.5412499999999998</v>
      </c>
      <c r="H868" s="9">
        <v>-83.797667000000004</v>
      </c>
      <c r="I868" s="7">
        <v>2527</v>
      </c>
      <c r="J868" s="7" t="s">
        <v>20</v>
      </c>
      <c r="K868" s="10">
        <v>42353</v>
      </c>
      <c r="L868" s="10">
        <v>42454</v>
      </c>
      <c r="M868" s="11">
        <f t="shared" si="49"/>
        <v>102</v>
      </c>
      <c r="N868" s="11">
        <f t="shared" si="1"/>
        <v>102</v>
      </c>
      <c r="O868" s="8"/>
      <c r="P868" s="8">
        <v>41</v>
      </c>
      <c r="Q868" s="14"/>
      <c r="R868" s="14"/>
      <c r="S868" s="14"/>
      <c r="T868" s="14"/>
      <c r="U868" s="14"/>
      <c r="V868" s="14"/>
      <c r="W868" s="14"/>
      <c r="X868" s="14"/>
      <c r="Y868" s="14"/>
      <c r="Z868" s="14"/>
      <c r="AA868" s="14"/>
    </row>
    <row r="869" spans="1:27" ht="15.75" hidden="1" customHeight="1" x14ac:dyDescent="0.2">
      <c r="A869" s="7" t="s">
        <v>131</v>
      </c>
      <c r="B869" s="7" t="s">
        <v>431</v>
      </c>
      <c r="C869" s="7" t="s">
        <v>466</v>
      </c>
      <c r="D869" s="8">
        <v>7</v>
      </c>
      <c r="E869" s="9">
        <v>192848</v>
      </c>
      <c r="F869" s="9">
        <v>1055932</v>
      </c>
      <c r="G869" s="9">
        <v>9.5412499999999998</v>
      </c>
      <c r="H869" s="9">
        <v>-83.797667000000004</v>
      </c>
      <c r="I869" s="7">
        <v>2527</v>
      </c>
      <c r="J869" s="7" t="s">
        <v>20</v>
      </c>
      <c r="K869" s="10">
        <v>42749</v>
      </c>
      <c r="L869" s="10">
        <v>42822</v>
      </c>
      <c r="M869" s="11">
        <v>62</v>
      </c>
      <c r="N869" s="11">
        <f t="shared" si="1"/>
        <v>74</v>
      </c>
      <c r="O869" s="8"/>
      <c r="P869" s="8">
        <v>41</v>
      </c>
      <c r="Q869" s="14"/>
      <c r="R869" s="14"/>
      <c r="S869" s="14"/>
      <c r="T869" s="14"/>
      <c r="U869" s="14"/>
      <c r="V869" s="14"/>
      <c r="W869" s="14"/>
      <c r="X869" s="14"/>
      <c r="Y869" s="14"/>
      <c r="Z869" s="14"/>
      <c r="AA869" s="14"/>
    </row>
    <row r="870" spans="1:27" ht="15.75" hidden="1" customHeight="1" x14ac:dyDescent="0.2">
      <c r="A870" s="7" t="s">
        <v>132</v>
      </c>
      <c r="B870" s="7" t="s">
        <v>431</v>
      </c>
      <c r="C870" s="7" t="s">
        <v>466</v>
      </c>
      <c r="D870" s="8">
        <v>7</v>
      </c>
      <c r="E870" s="9">
        <v>192848</v>
      </c>
      <c r="F870" s="9">
        <v>1055932</v>
      </c>
      <c r="G870" s="9">
        <v>9.5412499999999998</v>
      </c>
      <c r="H870" s="9">
        <v>-83.797667000000004</v>
      </c>
      <c r="I870" s="7">
        <v>2527</v>
      </c>
      <c r="J870" s="7" t="s">
        <v>20</v>
      </c>
      <c r="K870" s="10">
        <v>43101</v>
      </c>
      <c r="L870" s="10">
        <v>43276</v>
      </c>
      <c r="M870" s="11">
        <f t="shared" ref="M870:M882" si="50">IF(ISBLANK(K870),0,IF(ISBLANK(L870),0,L870-K870+1))</f>
        <v>176</v>
      </c>
      <c r="N870" s="11">
        <f t="shared" si="1"/>
        <v>176</v>
      </c>
      <c r="O870" s="8"/>
      <c r="P870" s="8">
        <v>41</v>
      </c>
      <c r="Q870" s="14"/>
      <c r="R870" s="14"/>
      <c r="S870" s="14"/>
      <c r="T870" s="14"/>
      <c r="U870" s="14"/>
      <c r="V870" s="14"/>
      <c r="W870" s="14"/>
      <c r="X870" s="14"/>
      <c r="Y870" s="14"/>
      <c r="Z870" s="14"/>
      <c r="AA870" s="14"/>
    </row>
    <row r="871" spans="1:27" ht="15.75" hidden="1" customHeight="1" x14ac:dyDescent="0.2">
      <c r="A871" s="14" t="s">
        <v>230</v>
      </c>
      <c r="B871" s="14" t="s">
        <v>431</v>
      </c>
      <c r="C871" s="14" t="s">
        <v>466</v>
      </c>
      <c r="D871" s="8">
        <v>7</v>
      </c>
      <c r="E871" s="16">
        <v>192848</v>
      </c>
      <c r="F871" s="16">
        <v>1055932</v>
      </c>
      <c r="G871" s="16">
        <v>9.5412499999999998</v>
      </c>
      <c r="H871" s="16">
        <v>-83.797667000000004</v>
      </c>
      <c r="I871" s="14">
        <v>2527</v>
      </c>
      <c r="J871" s="14" t="s">
        <v>20</v>
      </c>
      <c r="K871" s="17">
        <v>43495</v>
      </c>
      <c r="L871" s="17">
        <v>43518</v>
      </c>
      <c r="M871" s="18">
        <f t="shared" si="50"/>
        <v>24</v>
      </c>
      <c r="N871" s="11">
        <f t="shared" si="1"/>
        <v>24</v>
      </c>
      <c r="O871" s="15" t="s">
        <v>569</v>
      </c>
      <c r="P871" s="15">
        <v>41</v>
      </c>
      <c r="Q871" s="14"/>
      <c r="R871" s="14"/>
      <c r="S871" s="14"/>
      <c r="T871" s="14"/>
      <c r="U871" s="14"/>
      <c r="V871" s="14"/>
      <c r="W871" s="14"/>
      <c r="X871" s="14"/>
      <c r="Y871" s="14"/>
      <c r="Z871" s="14"/>
      <c r="AA871" s="14"/>
    </row>
    <row r="872" spans="1:27" ht="15.75" hidden="1" customHeight="1" x14ac:dyDescent="0.2">
      <c r="A872" s="14" t="s">
        <v>230</v>
      </c>
      <c r="B872" s="14" t="s">
        <v>431</v>
      </c>
      <c r="C872" s="14" t="s">
        <v>466</v>
      </c>
      <c r="D872" s="8">
        <v>7</v>
      </c>
      <c r="E872" s="16">
        <v>192848</v>
      </c>
      <c r="F872" s="16">
        <v>1055932</v>
      </c>
      <c r="G872" s="16">
        <v>9.5412499999999998</v>
      </c>
      <c r="H872" s="16">
        <v>-83.797667000000004</v>
      </c>
      <c r="I872" s="14">
        <v>2527</v>
      </c>
      <c r="J872" s="14" t="s">
        <v>20</v>
      </c>
      <c r="K872" s="17">
        <v>43538</v>
      </c>
      <c r="L872" s="17">
        <v>43553</v>
      </c>
      <c r="M872" s="18">
        <f t="shared" si="50"/>
        <v>16</v>
      </c>
      <c r="N872" s="11">
        <f t="shared" si="1"/>
        <v>16</v>
      </c>
      <c r="O872" s="15" t="s">
        <v>570</v>
      </c>
      <c r="P872" s="15">
        <v>41</v>
      </c>
      <c r="Q872" s="14"/>
      <c r="R872" s="14"/>
      <c r="S872" s="14"/>
      <c r="T872" s="14"/>
      <c r="U872" s="14"/>
      <c r="V872" s="14"/>
      <c r="W872" s="14"/>
      <c r="X872" s="14"/>
      <c r="Y872" s="14"/>
      <c r="Z872" s="14"/>
      <c r="AA872" s="14"/>
    </row>
    <row r="873" spans="1:27" ht="15.75" hidden="1" customHeight="1" x14ac:dyDescent="0.2">
      <c r="A873" s="7" t="s">
        <v>193</v>
      </c>
      <c r="B873" s="7" t="s">
        <v>431</v>
      </c>
      <c r="C873" s="7" t="s">
        <v>466</v>
      </c>
      <c r="D873" s="8">
        <v>7</v>
      </c>
      <c r="E873" s="9">
        <v>192846</v>
      </c>
      <c r="F873" s="9">
        <v>1055940</v>
      </c>
      <c r="G873" s="9">
        <v>9.5412499999999998</v>
      </c>
      <c r="H873" s="9">
        <v>-83.797667000000004</v>
      </c>
      <c r="I873" s="7">
        <v>2500</v>
      </c>
      <c r="J873" s="7" t="s">
        <v>20</v>
      </c>
      <c r="K873" s="10">
        <v>41479</v>
      </c>
      <c r="L873" s="10">
        <v>41479</v>
      </c>
      <c r="M873" s="11">
        <f t="shared" si="50"/>
        <v>1</v>
      </c>
      <c r="N873" s="11">
        <f t="shared" si="1"/>
        <v>1</v>
      </c>
      <c r="O873" s="8"/>
      <c r="P873" s="8">
        <v>41</v>
      </c>
      <c r="Q873" s="14"/>
      <c r="R873" s="14"/>
      <c r="S873" s="14"/>
      <c r="T873" s="14"/>
      <c r="U873" s="14"/>
      <c r="V873" s="14"/>
      <c r="W873" s="14"/>
      <c r="X873" s="14"/>
      <c r="Y873" s="14"/>
      <c r="Z873" s="14"/>
      <c r="AA873" s="14"/>
    </row>
    <row r="874" spans="1:27" ht="15.75" hidden="1" customHeight="1" x14ac:dyDescent="0.2">
      <c r="A874" s="7" t="s">
        <v>182</v>
      </c>
      <c r="B874" s="7" t="s">
        <v>431</v>
      </c>
      <c r="C874" s="7" t="s">
        <v>466</v>
      </c>
      <c r="D874" s="8">
        <v>7</v>
      </c>
      <c r="E874" s="9">
        <v>192848</v>
      </c>
      <c r="F874" s="9">
        <v>1055932</v>
      </c>
      <c r="G874" s="9">
        <v>9.5412499999999998</v>
      </c>
      <c r="H874" s="9">
        <v>-83.797667000000004</v>
      </c>
      <c r="I874" s="7">
        <v>2527</v>
      </c>
      <c r="J874" s="7" t="s">
        <v>20</v>
      </c>
      <c r="K874" s="10">
        <v>41808</v>
      </c>
      <c r="L874" s="10">
        <v>41846</v>
      </c>
      <c r="M874" s="11">
        <f t="shared" si="50"/>
        <v>39</v>
      </c>
      <c r="N874" s="11">
        <f t="shared" si="1"/>
        <v>39</v>
      </c>
      <c r="O874" s="8"/>
      <c r="P874" s="8">
        <v>41</v>
      </c>
      <c r="Q874" s="14"/>
      <c r="R874" s="14"/>
      <c r="S874" s="14"/>
      <c r="T874" s="14"/>
      <c r="U874" s="14"/>
      <c r="V874" s="14"/>
      <c r="W874" s="14"/>
      <c r="X874" s="14"/>
      <c r="Y874" s="14"/>
      <c r="Z874" s="14"/>
      <c r="AA874" s="14"/>
    </row>
    <row r="875" spans="1:27" ht="15.75" hidden="1" customHeight="1" x14ac:dyDescent="0.2">
      <c r="A875" s="7" t="s">
        <v>133</v>
      </c>
      <c r="B875" s="7" t="s">
        <v>431</v>
      </c>
      <c r="C875" s="7" t="s">
        <v>466</v>
      </c>
      <c r="D875" s="8">
        <v>7</v>
      </c>
      <c r="E875" s="9">
        <v>192848</v>
      </c>
      <c r="F875" s="9">
        <v>1055932</v>
      </c>
      <c r="G875" s="9">
        <v>9.5412499999999998</v>
      </c>
      <c r="H875" s="9">
        <v>-83.797667000000004</v>
      </c>
      <c r="I875" s="7">
        <v>2527</v>
      </c>
      <c r="J875" s="7" t="s">
        <v>20</v>
      </c>
      <c r="K875" s="10">
        <v>42163</v>
      </c>
      <c r="L875" s="10">
        <v>42171</v>
      </c>
      <c r="M875" s="11">
        <f t="shared" si="50"/>
        <v>9</v>
      </c>
      <c r="N875" s="11">
        <f t="shared" si="1"/>
        <v>9</v>
      </c>
      <c r="O875" s="8"/>
      <c r="P875" s="8">
        <v>41</v>
      </c>
      <c r="Q875" s="14"/>
      <c r="R875" s="14"/>
      <c r="S875" s="14"/>
      <c r="T875" s="14"/>
      <c r="U875" s="14"/>
      <c r="V875" s="14"/>
      <c r="W875" s="14"/>
      <c r="X875" s="14"/>
      <c r="Y875" s="14"/>
      <c r="Z875" s="14"/>
      <c r="AA875" s="14"/>
    </row>
    <row r="876" spans="1:27" ht="15.75" hidden="1" customHeight="1" x14ac:dyDescent="0.2">
      <c r="A876" s="7" t="s">
        <v>134</v>
      </c>
      <c r="B876" s="7" t="s">
        <v>431</v>
      </c>
      <c r="C876" s="7" t="s">
        <v>466</v>
      </c>
      <c r="D876" s="8">
        <v>7</v>
      </c>
      <c r="E876" s="9">
        <v>192848</v>
      </c>
      <c r="F876" s="9">
        <v>1055932</v>
      </c>
      <c r="G876" s="9">
        <v>9.5412499999999998</v>
      </c>
      <c r="H876" s="9">
        <v>-83.797667000000004</v>
      </c>
      <c r="I876" s="7">
        <v>2527</v>
      </c>
      <c r="J876" s="7" t="s">
        <v>20</v>
      </c>
      <c r="K876" s="10">
        <v>42570</v>
      </c>
      <c r="L876" s="10">
        <v>42623</v>
      </c>
      <c r="M876" s="11">
        <f t="shared" si="50"/>
        <v>54</v>
      </c>
      <c r="N876" s="11">
        <f t="shared" si="1"/>
        <v>54</v>
      </c>
      <c r="O876" s="8"/>
      <c r="P876" s="8">
        <v>41</v>
      </c>
      <c r="Q876" s="14"/>
      <c r="R876" s="14"/>
      <c r="S876" s="14"/>
      <c r="T876" s="14"/>
      <c r="U876" s="14"/>
      <c r="V876" s="14"/>
      <c r="W876" s="14"/>
      <c r="X876" s="14"/>
      <c r="Y876" s="14"/>
      <c r="Z876" s="14"/>
      <c r="AA876" s="14"/>
    </row>
    <row r="877" spans="1:27" ht="15.75" hidden="1" customHeight="1" x14ac:dyDescent="0.2">
      <c r="A877" s="7" t="s">
        <v>186</v>
      </c>
      <c r="B877" s="7" t="s">
        <v>431</v>
      </c>
      <c r="C877" s="7" t="s">
        <v>466</v>
      </c>
      <c r="D877" s="8">
        <v>7</v>
      </c>
      <c r="E877" s="9">
        <v>192848</v>
      </c>
      <c r="F877" s="9">
        <v>1055932</v>
      </c>
      <c r="G877" s="9">
        <v>9.5412499999999998</v>
      </c>
      <c r="H877" s="9">
        <v>-83.797667000000004</v>
      </c>
      <c r="I877" s="7">
        <v>2527</v>
      </c>
      <c r="J877" s="7" t="s">
        <v>20</v>
      </c>
      <c r="K877" s="10">
        <v>42880</v>
      </c>
      <c r="L877" s="10">
        <v>42893</v>
      </c>
      <c r="M877" s="11">
        <f t="shared" si="50"/>
        <v>14</v>
      </c>
      <c r="N877" s="11">
        <f t="shared" si="1"/>
        <v>14</v>
      </c>
      <c r="O877" s="8"/>
      <c r="P877" s="8">
        <v>41</v>
      </c>
      <c r="Q877" s="14"/>
      <c r="R877" s="14"/>
      <c r="S877" s="14"/>
      <c r="T877" s="14"/>
      <c r="U877" s="14"/>
      <c r="V877" s="14"/>
      <c r="W877" s="14"/>
      <c r="X877" s="14"/>
      <c r="Y877" s="14"/>
      <c r="Z877" s="14"/>
      <c r="AA877" s="14"/>
    </row>
    <row r="878" spans="1:27" ht="15.75" hidden="1" customHeight="1" x14ac:dyDescent="0.2">
      <c r="A878" s="7" t="s">
        <v>297</v>
      </c>
      <c r="B878" s="7" t="s">
        <v>431</v>
      </c>
      <c r="C878" s="7" t="s">
        <v>466</v>
      </c>
      <c r="D878" s="8">
        <v>7</v>
      </c>
      <c r="E878" s="9">
        <v>192848</v>
      </c>
      <c r="F878" s="9">
        <v>1055932</v>
      </c>
      <c r="G878" s="9">
        <v>9.5412499999999998</v>
      </c>
      <c r="H878" s="9">
        <v>-83.797667000000004</v>
      </c>
      <c r="I878" s="7">
        <v>2527</v>
      </c>
      <c r="J878" s="7" t="s">
        <v>20</v>
      </c>
      <c r="K878" s="10">
        <v>43277</v>
      </c>
      <c r="L878" s="10">
        <v>43301</v>
      </c>
      <c r="M878" s="11">
        <f t="shared" si="50"/>
        <v>25</v>
      </c>
      <c r="N878" s="11">
        <f t="shared" si="1"/>
        <v>25</v>
      </c>
      <c r="O878" s="8"/>
      <c r="P878" s="8">
        <v>41</v>
      </c>
      <c r="Q878" s="14"/>
      <c r="R878" s="14"/>
      <c r="S878" s="14"/>
      <c r="T878" s="14"/>
      <c r="U878" s="14"/>
      <c r="V878" s="14"/>
      <c r="W878" s="14"/>
      <c r="X878" s="14"/>
      <c r="Y878" s="14"/>
      <c r="Z878" s="14"/>
      <c r="AA878" s="14"/>
    </row>
    <row r="879" spans="1:27" ht="15.75" hidden="1" customHeight="1" x14ac:dyDescent="0.2">
      <c r="A879" s="20" t="s">
        <v>297</v>
      </c>
      <c r="B879" s="20" t="s">
        <v>431</v>
      </c>
      <c r="C879" s="20" t="s">
        <v>466</v>
      </c>
      <c r="D879" s="8">
        <v>7</v>
      </c>
      <c r="E879" s="22">
        <v>192848</v>
      </c>
      <c r="F879" s="22">
        <v>1055932</v>
      </c>
      <c r="G879" s="22">
        <v>9.5412499999999998</v>
      </c>
      <c r="H879" s="22">
        <v>-83.797667000000004</v>
      </c>
      <c r="I879" s="20">
        <v>2527</v>
      </c>
      <c r="J879" s="20" t="s">
        <v>20</v>
      </c>
      <c r="K879" s="23"/>
      <c r="L879" s="23"/>
      <c r="M879" s="24">
        <f t="shared" si="50"/>
        <v>0</v>
      </c>
      <c r="N879" s="11">
        <f t="shared" si="1"/>
        <v>0</v>
      </c>
      <c r="O879" s="25"/>
      <c r="P879" s="21">
        <v>41</v>
      </c>
      <c r="Q879" s="14"/>
      <c r="R879" s="14"/>
      <c r="S879" s="14"/>
      <c r="T879" s="14"/>
      <c r="U879" s="14"/>
      <c r="V879" s="14"/>
      <c r="W879" s="14"/>
      <c r="X879" s="14"/>
      <c r="Y879" s="14"/>
      <c r="Z879" s="14"/>
      <c r="AA879" s="14"/>
    </row>
    <row r="880" spans="1:27" ht="15.75" hidden="1" customHeight="1" x14ac:dyDescent="0.2">
      <c r="A880" s="14" t="s">
        <v>444</v>
      </c>
      <c r="B880" s="14" t="s">
        <v>431</v>
      </c>
      <c r="C880" s="14" t="s">
        <v>466</v>
      </c>
      <c r="D880" s="8">
        <v>7</v>
      </c>
      <c r="E880" s="16">
        <v>192848</v>
      </c>
      <c r="F880" s="16">
        <v>1055932</v>
      </c>
      <c r="G880" s="16">
        <v>9.5412499999999998</v>
      </c>
      <c r="H880" s="16">
        <v>-83.797667000000004</v>
      </c>
      <c r="I880" s="14">
        <v>2527</v>
      </c>
      <c r="J880" s="14" t="s">
        <v>20</v>
      </c>
      <c r="K880" s="17">
        <v>43649</v>
      </c>
      <c r="L880" s="17">
        <v>43693</v>
      </c>
      <c r="M880" s="18">
        <f t="shared" si="50"/>
        <v>45</v>
      </c>
      <c r="N880" s="11">
        <f t="shared" si="1"/>
        <v>45</v>
      </c>
      <c r="O880" s="15" t="s">
        <v>571</v>
      </c>
      <c r="P880" s="15">
        <v>41</v>
      </c>
      <c r="Q880" s="7"/>
      <c r="R880" s="7"/>
      <c r="S880" s="7"/>
      <c r="T880" s="7"/>
      <c r="U880" s="7"/>
      <c r="V880" s="7"/>
      <c r="W880" s="7"/>
      <c r="X880" s="7"/>
      <c r="Y880" s="7"/>
      <c r="Z880" s="7"/>
      <c r="AA880" s="7"/>
    </row>
    <row r="881" spans="1:27" ht="15.75" hidden="1" customHeight="1" x14ac:dyDescent="0.2">
      <c r="A881" s="7" t="s">
        <v>61</v>
      </c>
      <c r="B881" s="7" t="s">
        <v>431</v>
      </c>
      <c r="C881" s="7" t="s">
        <v>466</v>
      </c>
      <c r="D881" s="8">
        <v>6</v>
      </c>
      <c r="E881" s="9">
        <v>193087</v>
      </c>
      <c r="F881" s="9">
        <v>1056379</v>
      </c>
      <c r="G881" s="9">
        <v>9.5443829999999998</v>
      </c>
      <c r="H881" s="9">
        <v>-83.795567000000005</v>
      </c>
      <c r="I881" s="7">
        <v>2597</v>
      </c>
      <c r="J881" s="7" t="s">
        <v>20</v>
      </c>
      <c r="K881" s="10">
        <v>41133</v>
      </c>
      <c r="L881" s="10">
        <v>41271</v>
      </c>
      <c r="M881" s="11">
        <f t="shared" si="50"/>
        <v>139</v>
      </c>
      <c r="N881" s="11">
        <f t="shared" si="1"/>
        <v>139</v>
      </c>
      <c r="O881" s="8"/>
      <c r="P881" s="8">
        <v>7</v>
      </c>
      <c r="Q881" s="14"/>
      <c r="R881" s="14"/>
      <c r="S881" s="14"/>
      <c r="T881" s="14"/>
      <c r="U881" s="14"/>
      <c r="V881" s="14"/>
      <c r="W881" s="14"/>
      <c r="X881" s="14"/>
      <c r="Y881" s="14"/>
      <c r="Z881" s="14"/>
      <c r="AA881" s="14"/>
    </row>
    <row r="882" spans="1:27" ht="15.75" hidden="1" customHeight="1" x14ac:dyDescent="0.2">
      <c r="A882" s="7" t="s">
        <v>165</v>
      </c>
      <c r="B882" s="7" t="s">
        <v>431</v>
      </c>
      <c r="C882" s="7" t="s">
        <v>466</v>
      </c>
      <c r="D882" s="8">
        <v>6</v>
      </c>
      <c r="E882" s="9">
        <v>193073</v>
      </c>
      <c r="F882" s="9">
        <v>1056283</v>
      </c>
      <c r="G882" s="9">
        <v>9.5443829999999998</v>
      </c>
      <c r="H882" s="9">
        <v>-83.795567000000005</v>
      </c>
      <c r="I882" s="7">
        <v>2596</v>
      </c>
      <c r="J882" s="7" t="s">
        <v>20</v>
      </c>
      <c r="K882" s="10">
        <v>42624</v>
      </c>
      <c r="L882" s="10">
        <v>42749</v>
      </c>
      <c r="M882" s="11">
        <f t="shared" si="50"/>
        <v>126</v>
      </c>
      <c r="N882" s="11">
        <f t="shared" si="1"/>
        <v>126</v>
      </c>
      <c r="O882" s="8"/>
      <c r="P882" s="8">
        <v>7</v>
      </c>
      <c r="Q882" s="14"/>
      <c r="R882" s="14"/>
      <c r="S882" s="14"/>
      <c r="T882" s="14"/>
      <c r="U882" s="14"/>
      <c r="V882" s="14"/>
      <c r="W882" s="14"/>
      <c r="X882" s="14"/>
      <c r="Y882" s="14"/>
      <c r="Z882" s="14"/>
      <c r="AA882" s="14"/>
    </row>
    <row r="883" spans="1:27" ht="15.75" hidden="1" customHeight="1" x14ac:dyDescent="0.2">
      <c r="A883" s="7" t="s">
        <v>128</v>
      </c>
      <c r="B883" s="7" t="s">
        <v>431</v>
      </c>
      <c r="C883" s="7" t="s">
        <v>466</v>
      </c>
      <c r="D883" s="8">
        <v>6</v>
      </c>
      <c r="E883" s="9">
        <v>193073</v>
      </c>
      <c r="F883" s="9">
        <v>1056283</v>
      </c>
      <c r="G883" s="9">
        <v>9.5443829999999998</v>
      </c>
      <c r="H883" s="9">
        <v>-83.795567000000005</v>
      </c>
      <c r="I883" s="7">
        <v>2596</v>
      </c>
      <c r="J883" s="7" t="s">
        <v>20</v>
      </c>
      <c r="K883" s="10">
        <v>42893</v>
      </c>
      <c r="L883" s="10">
        <v>43101</v>
      </c>
      <c r="M883" s="11">
        <v>133</v>
      </c>
      <c r="N883" s="11">
        <f t="shared" si="1"/>
        <v>209</v>
      </c>
      <c r="O883" s="8" t="s">
        <v>572</v>
      </c>
      <c r="P883" s="8">
        <v>7</v>
      </c>
      <c r="Q883" s="14"/>
      <c r="R883" s="14"/>
      <c r="S883" s="14"/>
      <c r="T883" s="14"/>
      <c r="U883" s="14"/>
      <c r="V883" s="14"/>
      <c r="W883" s="14"/>
      <c r="X883" s="14"/>
      <c r="Y883" s="14"/>
      <c r="Z883" s="14"/>
      <c r="AA883" s="14"/>
    </row>
    <row r="884" spans="1:27" ht="15.75" hidden="1" customHeight="1" x14ac:dyDescent="0.2">
      <c r="A884" s="14" t="s">
        <v>287</v>
      </c>
      <c r="B884" s="14" t="s">
        <v>431</v>
      </c>
      <c r="C884" s="14" t="s">
        <v>466</v>
      </c>
      <c r="D884" s="8">
        <v>6</v>
      </c>
      <c r="E884" s="16">
        <v>193073</v>
      </c>
      <c r="F884" s="16">
        <v>1056283</v>
      </c>
      <c r="G884" s="16">
        <v>9.5443829999999998</v>
      </c>
      <c r="H884" s="16">
        <v>-83.795567000000005</v>
      </c>
      <c r="I884" s="14">
        <v>2596</v>
      </c>
      <c r="J884" s="14" t="s">
        <v>20</v>
      </c>
      <c r="K884" s="17">
        <v>43301</v>
      </c>
      <c r="L884" s="17">
        <v>43452</v>
      </c>
      <c r="M884" s="18">
        <f t="shared" ref="M884:M908" si="51">IF(ISBLANK(K884),0,IF(ISBLANK(L884),0,L884-K884+1))</f>
        <v>152</v>
      </c>
      <c r="N884" s="11">
        <f t="shared" si="1"/>
        <v>152</v>
      </c>
      <c r="O884" s="15" t="s">
        <v>573</v>
      </c>
      <c r="P884" s="15">
        <v>7</v>
      </c>
      <c r="Q884" s="14"/>
      <c r="R884" s="14"/>
      <c r="S884" s="14"/>
      <c r="T884" s="14"/>
      <c r="U884" s="14"/>
      <c r="V884" s="14"/>
      <c r="W884" s="14"/>
      <c r="X884" s="14"/>
      <c r="Y884" s="14"/>
      <c r="Z884" s="14"/>
      <c r="AA884" s="14"/>
    </row>
    <row r="885" spans="1:27" ht="15.75" hidden="1" customHeight="1" x14ac:dyDescent="0.2">
      <c r="A885" s="7" t="s">
        <v>52</v>
      </c>
      <c r="B885" s="7" t="s">
        <v>431</v>
      </c>
      <c r="C885" s="7" t="s">
        <v>466</v>
      </c>
      <c r="D885" s="8">
        <v>6</v>
      </c>
      <c r="E885" s="9">
        <v>193087</v>
      </c>
      <c r="F885" s="9">
        <v>1056379</v>
      </c>
      <c r="G885" s="9">
        <v>9.5443829999999998</v>
      </c>
      <c r="H885" s="9">
        <v>-83.795567000000005</v>
      </c>
      <c r="I885" s="7">
        <v>2597</v>
      </c>
      <c r="J885" s="7" t="s">
        <v>20</v>
      </c>
      <c r="K885" s="10">
        <v>41008</v>
      </c>
      <c r="L885" s="10">
        <v>41133</v>
      </c>
      <c r="M885" s="11">
        <f t="shared" si="51"/>
        <v>126</v>
      </c>
      <c r="N885" s="11">
        <f t="shared" si="1"/>
        <v>126</v>
      </c>
      <c r="O885" s="8" t="s">
        <v>27</v>
      </c>
      <c r="P885" s="8">
        <v>7</v>
      </c>
      <c r="Q885" s="14"/>
      <c r="R885" s="14"/>
      <c r="S885" s="14"/>
      <c r="T885" s="14"/>
      <c r="U885" s="14"/>
      <c r="V885" s="14"/>
      <c r="W885" s="14"/>
      <c r="X885" s="14"/>
      <c r="Y885" s="14"/>
      <c r="Z885" s="14"/>
      <c r="AA885" s="14"/>
    </row>
    <row r="886" spans="1:27" ht="15.75" hidden="1" customHeight="1" x14ac:dyDescent="0.2">
      <c r="A886" s="7" t="s">
        <v>441</v>
      </c>
      <c r="B886" s="7" t="s">
        <v>431</v>
      </c>
      <c r="C886" s="7" t="s">
        <v>466</v>
      </c>
      <c r="D886" s="8">
        <v>6</v>
      </c>
      <c r="E886" s="9">
        <v>193087</v>
      </c>
      <c r="F886" s="9">
        <v>1056379</v>
      </c>
      <c r="G886" s="9">
        <v>9.5443829999999998</v>
      </c>
      <c r="H886" s="9">
        <v>-83.795567000000005</v>
      </c>
      <c r="I886" s="7">
        <v>2597</v>
      </c>
      <c r="J886" s="7" t="s">
        <v>20</v>
      </c>
      <c r="K886" s="10">
        <v>40923</v>
      </c>
      <c r="L886" s="10">
        <v>41008</v>
      </c>
      <c r="M886" s="11">
        <f t="shared" si="51"/>
        <v>86</v>
      </c>
      <c r="N886" s="11">
        <f t="shared" si="1"/>
        <v>86</v>
      </c>
      <c r="O886" s="8"/>
      <c r="P886" s="8">
        <v>7</v>
      </c>
      <c r="Q886" s="14"/>
      <c r="R886" s="14"/>
      <c r="S886" s="14"/>
      <c r="T886" s="14"/>
      <c r="U886" s="14"/>
      <c r="V886" s="14"/>
      <c r="W886" s="14"/>
      <c r="X886" s="14"/>
      <c r="Y886" s="14"/>
      <c r="Z886" s="14"/>
      <c r="AA886" s="14"/>
    </row>
    <row r="887" spans="1:27" ht="15.75" hidden="1" customHeight="1" x14ac:dyDescent="0.2">
      <c r="A887" s="7" t="s">
        <v>40</v>
      </c>
      <c r="B887" s="7" t="s">
        <v>431</v>
      </c>
      <c r="C887" s="7" t="s">
        <v>466</v>
      </c>
      <c r="D887" s="8">
        <v>6</v>
      </c>
      <c r="E887" s="9">
        <v>193087</v>
      </c>
      <c r="F887" s="9">
        <v>1056379</v>
      </c>
      <c r="G887" s="9">
        <v>9.5443829999999998</v>
      </c>
      <c r="H887" s="9">
        <v>-83.795567000000005</v>
      </c>
      <c r="I887" s="7">
        <v>2597</v>
      </c>
      <c r="J887" s="7" t="s">
        <v>20</v>
      </c>
      <c r="K887" s="10">
        <v>41283</v>
      </c>
      <c r="L887" s="10">
        <v>41437</v>
      </c>
      <c r="M887" s="11">
        <f t="shared" si="51"/>
        <v>155</v>
      </c>
      <c r="N887" s="11">
        <f t="shared" si="1"/>
        <v>155</v>
      </c>
      <c r="O887" s="8"/>
      <c r="P887" s="8">
        <v>7</v>
      </c>
      <c r="Q887" s="14"/>
      <c r="R887" s="14"/>
      <c r="S887" s="14"/>
      <c r="T887" s="14"/>
      <c r="U887" s="14"/>
      <c r="V887" s="14"/>
      <c r="W887" s="14"/>
      <c r="X887" s="14"/>
      <c r="Y887" s="14"/>
      <c r="Z887" s="14"/>
      <c r="AA887" s="14"/>
    </row>
    <row r="888" spans="1:27" ht="15.75" hidden="1" customHeight="1" x14ac:dyDescent="0.2">
      <c r="A888" s="7" t="s">
        <v>42</v>
      </c>
      <c r="B888" s="7" t="s">
        <v>431</v>
      </c>
      <c r="C888" s="7" t="s">
        <v>466</v>
      </c>
      <c r="D888" s="8">
        <v>6</v>
      </c>
      <c r="E888" s="9">
        <v>193073</v>
      </c>
      <c r="F888" s="9">
        <v>1056283</v>
      </c>
      <c r="G888" s="9">
        <v>9.5443829999999998</v>
      </c>
      <c r="H888" s="9">
        <v>-83.795567000000005</v>
      </c>
      <c r="I888" s="7">
        <v>2596</v>
      </c>
      <c r="J888" s="7" t="s">
        <v>20</v>
      </c>
      <c r="K888" s="10">
        <v>41643</v>
      </c>
      <c r="L888" s="10">
        <v>41792</v>
      </c>
      <c r="M888" s="11">
        <f t="shared" si="51"/>
        <v>150</v>
      </c>
      <c r="N888" s="11">
        <f t="shared" si="1"/>
        <v>150</v>
      </c>
      <c r="O888" s="8"/>
      <c r="P888" s="8">
        <v>7</v>
      </c>
      <c r="Q888" s="14"/>
      <c r="R888" s="14"/>
      <c r="S888" s="14"/>
      <c r="T888" s="14"/>
      <c r="U888" s="14"/>
      <c r="V888" s="14"/>
      <c r="W888" s="14"/>
      <c r="X888" s="14"/>
      <c r="Y888" s="14"/>
      <c r="Z888" s="14"/>
      <c r="AA888" s="14"/>
    </row>
    <row r="889" spans="1:27" ht="15.75" hidden="1" customHeight="1" x14ac:dyDescent="0.2">
      <c r="A889" s="7" t="s">
        <v>47</v>
      </c>
      <c r="B889" s="7" t="s">
        <v>431</v>
      </c>
      <c r="C889" s="7" t="s">
        <v>466</v>
      </c>
      <c r="D889" s="8">
        <v>6</v>
      </c>
      <c r="E889" s="9">
        <v>193073</v>
      </c>
      <c r="F889" s="9">
        <v>1056283</v>
      </c>
      <c r="G889" s="9">
        <v>9.5443829999999998</v>
      </c>
      <c r="H889" s="9">
        <v>-83.795567000000005</v>
      </c>
      <c r="I889" s="7">
        <v>2596</v>
      </c>
      <c r="J889" s="7" t="s">
        <v>20</v>
      </c>
      <c r="K889" s="10">
        <v>42095</v>
      </c>
      <c r="L889" s="10">
        <v>42158</v>
      </c>
      <c r="M889" s="11">
        <f t="shared" si="51"/>
        <v>64</v>
      </c>
      <c r="N889" s="11">
        <f t="shared" si="1"/>
        <v>64</v>
      </c>
      <c r="O889" s="8"/>
      <c r="P889" s="8">
        <v>7</v>
      </c>
      <c r="Q889" s="14"/>
      <c r="R889" s="14"/>
      <c r="S889" s="14"/>
      <c r="T889" s="14"/>
      <c r="U889" s="14"/>
      <c r="V889" s="14"/>
      <c r="W889" s="14"/>
      <c r="X889" s="14"/>
      <c r="Y889" s="14"/>
      <c r="Z889" s="14"/>
      <c r="AA889" s="14"/>
    </row>
    <row r="890" spans="1:27" ht="15.75" hidden="1" customHeight="1" x14ac:dyDescent="0.2">
      <c r="A890" s="7" t="s">
        <v>130</v>
      </c>
      <c r="B890" s="7" t="s">
        <v>431</v>
      </c>
      <c r="C890" s="7" t="s">
        <v>466</v>
      </c>
      <c r="D890" s="8">
        <v>6</v>
      </c>
      <c r="E890" s="9">
        <v>193073</v>
      </c>
      <c r="F890" s="9">
        <v>1056283</v>
      </c>
      <c r="G890" s="9">
        <v>9.5443829999999998</v>
      </c>
      <c r="H890" s="9">
        <v>-83.795567000000005</v>
      </c>
      <c r="I890" s="7">
        <v>2596</v>
      </c>
      <c r="J890" s="7" t="s">
        <v>20</v>
      </c>
      <c r="K890" s="10">
        <v>42353</v>
      </c>
      <c r="L890" s="10">
        <v>42454</v>
      </c>
      <c r="M890" s="11">
        <f t="shared" si="51"/>
        <v>102</v>
      </c>
      <c r="N890" s="11">
        <f t="shared" si="1"/>
        <v>102</v>
      </c>
      <c r="O890" s="8"/>
      <c r="P890" s="8">
        <v>7</v>
      </c>
      <c r="Q890" s="14"/>
      <c r="R890" s="14"/>
      <c r="S890" s="14"/>
      <c r="T890" s="14"/>
      <c r="U890" s="14"/>
      <c r="V890" s="14"/>
      <c r="W890" s="14"/>
      <c r="X890" s="14"/>
      <c r="Y890" s="14"/>
      <c r="Z890" s="14"/>
      <c r="AA890" s="14"/>
    </row>
    <row r="891" spans="1:27" ht="15.75" hidden="1" customHeight="1" x14ac:dyDescent="0.2">
      <c r="A891" s="7" t="s">
        <v>131</v>
      </c>
      <c r="B891" s="7" t="s">
        <v>431</v>
      </c>
      <c r="C891" s="7" t="s">
        <v>466</v>
      </c>
      <c r="D891" s="8">
        <v>6</v>
      </c>
      <c r="E891" s="9">
        <v>193073</v>
      </c>
      <c r="F891" s="9">
        <v>1056283</v>
      </c>
      <c r="G891" s="9">
        <v>9.5443829999999998</v>
      </c>
      <c r="H891" s="9">
        <v>-83.795567000000005</v>
      </c>
      <c r="I891" s="7">
        <v>2596</v>
      </c>
      <c r="J891" s="7" t="s">
        <v>20</v>
      </c>
      <c r="K891" s="10">
        <v>42749</v>
      </c>
      <c r="L891" s="10">
        <v>42822</v>
      </c>
      <c r="M891" s="11">
        <f t="shared" si="51"/>
        <v>74</v>
      </c>
      <c r="N891" s="11">
        <f t="shared" si="1"/>
        <v>74</v>
      </c>
      <c r="O891" s="8"/>
      <c r="P891" s="8">
        <v>7</v>
      </c>
      <c r="Q891" s="14"/>
      <c r="R891" s="14"/>
      <c r="S891" s="14"/>
      <c r="T891" s="14"/>
      <c r="U891" s="14"/>
      <c r="V891" s="14"/>
      <c r="W891" s="14"/>
      <c r="X891" s="14"/>
      <c r="Y891" s="14"/>
      <c r="Z891" s="14"/>
      <c r="AA891" s="14"/>
    </row>
    <row r="892" spans="1:27" ht="15.75" hidden="1" customHeight="1" x14ac:dyDescent="0.2">
      <c r="A892" s="7" t="s">
        <v>132</v>
      </c>
      <c r="B892" s="7" t="s">
        <v>431</v>
      </c>
      <c r="C892" s="7" t="s">
        <v>466</v>
      </c>
      <c r="D892" s="8">
        <v>6</v>
      </c>
      <c r="E892" s="9">
        <v>193073</v>
      </c>
      <c r="F892" s="9">
        <v>1056283</v>
      </c>
      <c r="G892" s="9">
        <v>9.5443829999999998</v>
      </c>
      <c r="H892" s="9">
        <v>-83.795567000000005</v>
      </c>
      <c r="I892" s="7">
        <v>2596</v>
      </c>
      <c r="J892" s="7" t="s">
        <v>20</v>
      </c>
      <c r="K892" s="10">
        <v>43102</v>
      </c>
      <c r="L892" s="10">
        <v>43276</v>
      </c>
      <c r="M892" s="11">
        <f t="shared" si="51"/>
        <v>175</v>
      </c>
      <c r="N892" s="11">
        <f t="shared" si="1"/>
        <v>175</v>
      </c>
      <c r="O892" s="8"/>
      <c r="P892" s="8">
        <v>7</v>
      </c>
      <c r="Q892" s="14"/>
      <c r="R892" s="14"/>
      <c r="S892" s="14"/>
      <c r="T892" s="14"/>
      <c r="U892" s="14"/>
      <c r="V892" s="14"/>
      <c r="W892" s="14"/>
      <c r="X892" s="14"/>
      <c r="Y892" s="14"/>
      <c r="Z892" s="14"/>
      <c r="AA892" s="14"/>
    </row>
    <row r="893" spans="1:27" ht="15.75" hidden="1" customHeight="1" x14ac:dyDescent="0.2">
      <c r="A893" s="14" t="s">
        <v>230</v>
      </c>
      <c r="B893" s="14" t="s">
        <v>431</v>
      </c>
      <c r="C893" s="14" t="s">
        <v>466</v>
      </c>
      <c r="D893" s="8">
        <v>6</v>
      </c>
      <c r="E893" s="16">
        <v>193073</v>
      </c>
      <c r="F893" s="16">
        <v>1056283</v>
      </c>
      <c r="G893" s="16">
        <v>9.5443829999999998</v>
      </c>
      <c r="H893" s="16">
        <v>-83.795567000000005</v>
      </c>
      <c r="I893" s="14">
        <v>2596</v>
      </c>
      <c r="J893" s="14" t="s">
        <v>20</v>
      </c>
      <c r="K893" s="17">
        <v>43452</v>
      </c>
      <c r="L893" s="17">
        <v>43493</v>
      </c>
      <c r="M893" s="18">
        <f t="shared" si="51"/>
        <v>42</v>
      </c>
      <c r="N893" s="11">
        <f t="shared" si="1"/>
        <v>42</v>
      </c>
      <c r="O893" s="15" t="s">
        <v>574</v>
      </c>
      <c r="P893" s="15">
        <v>7</v>
      </c>
      <c r="Q893" s="14"/>
      <c r="R893" s="14"/>
      <c r="S893" s="14"/>
      <c r="T893" s="14"/>
      <c r="U893" s="14"/>
      <c r="V893" s="14"/>
      <c r="W893" s="14"/>
      <c r="X893" s="14"/>
      <c r="Y893" s="14"/>
      <c r="Z893" s="14"/>
      <c r="AA893" s="14"/>
    </row>
    <row r="894" spans="1:27" ht="15.75" hidden="1" customHeight="1" x14ac:dyDescent="0.2">
      <c r="A894" s="14" t="s">
        <v>230</v>
      </c>
      <c r="B894" s="14" t="s">
        <v>431</v>
      </c>
      <c r="C894" s="14" t="s">
        <v>466</v>
      </c>
      <c r="D894" s="8">
        <v>6</v>
      </c>
      <c r="E894" s="16">
        <v>193073</v>
      </c>
      <c r="F894" s="16">
        <v>1056283</v>
      </c>
      <c r="G894" s="16">
        <v>9.5443829999999998</v>
      </c>
      <c r="H894" s="16">
        <v>-83.795567000000005</v>
      </c>
      <c r="I894" s="14">
        <v>2596</v>
      </c>
      <c r="J894" s="14" t="s">
        <v>20</v>
      </c>
      <c r="K894" s="17">
        <v>43495</v>
      </c>
      <c r="L894" s="17">
        <v>43518</v>
      </c>
      <c r="M894" s="18">
        <f t="shared" si="51"/>
        <v>24</v>
      </c>
      <c r="N894" s="11">
        <f t="shared" si="1"/>
        <v>24</v>
      </c>
      <c r="O894" s="15" t="s">
        <v>575</v>
      </c>
      <c r="P894" s="15">
        <v>7</v>
      </c>
      <c r="Q894" s="14"/>
      <c r="R894" s="14"/>
      <c r="S894" s="14"/>
      <c r="T894" s="14"/>
      <c r="U894" s="14"/>
      <c r="V894" s="14"/>
      <c r="W894" s="14"/>
      <c r="X894" s="14"/>
      <c r="Y894" s="14"/>
      <c r="Z894" s="14"/>
      <c r="AA894" s="14"/>
    </row>
    <row r="895" spans="1:27" ht="15.75" hidden="1" customHeight="1" x14ac:dyDescent="0.2">
      <c r="A895" s="14" t="s">
        <v>230</v>
      </c>
      <c r="B895" s="14" t="s">
        <v>431</v>
      </c>
      <c r="C895" s="14" t="s">
        <v>466</v>
      </c>
      <c r="D895" s="8">
        <v>6</v>
      </c>
      <c r="E895" s="16">
        <v>193073</v>
      </c>
      <c r="F895" s="16">
        <v>1056283</v>
      </c>
      <c r="G895" s="16">
        <v>9.5443829999999998</v>
      </c>
      <c r="H895" s="16">
        <v>-83.795567000000005</v>
      </c>
      <c r="I895" s="14">
        <v>2596</v>
      </c>
      <c r="J895" s="14" t="s">
        <v>20</v>
      </c>
      <c r="K895" s="17">
        <v>43519</v>
      </c>
      <c r="L895" s="17">
        <v>43538</v>
      </c>
      <c r="M895" s="18">
        <f t="shared" si="51"/>
        <v>20</v>
      </c>
      <c r="N895" s="11">
        <f t="shared" si="1"/>
        <v>20</v>
      </c>
      <c r="O895" s="15" t="s">
        <v>576</v>
      </c>
      <c r="P895" s="15">
        <v>7</v>
      </c>
      <c r="Q895" s="14"/>
      <c r="R895" s="14"/>
      <c r="S895" s="14"/>
      <c r="T895" s="14"/>
      <c r="U895" s="14"/>
      <c r="V895" s="14"/>
      <c r="W895" s="14"/>
      <c r="X895" s="14"/>
      <c r="Y895" s="14"/>
      <c r="Z895" s="14"/>
      <c r="AA895" s="14"/>
    </row>
    <row r="896" spans="1:27" ht="15.75" hidden="1" customHeight="1" x14ac:dyDescent="0.2">
      <c r="A896" s="14" t="s">
        <v>230</v>
      </c>
      <c r="B896" s="14" t="s">
        <v>431</v>
      </c>
      <c r="C896" s="14" t="s">
        <v>466</v>
      </c>
      <c r="D896" s="8">
        <v>6</v>
      </c>
      <c r="E896" s="16">
        <v>193073</v>
      </c>
      <c r="F896" s="16">
        <v>1056283</v>
      </c>
      <c r="G896" s="16">
        <v>9.5443829999999998</v>
      </c>
      <c r="H896" s="16">
        <v>-83.795567000000005</v>
      </c>
      <c r="I896" s="14">
        <v>2596</v>
      </c>
      <c r="J896" s="14" t="s">
        <v>20</v>
      </c>
      <c r="K896" s="17">
        <v>43566</v>
      </c>
      <c r="L896" s="17">
        <v>43628</v>
      </c>
      <c r="M896" s="18">
        <f t="shared" si="51"/>
        <v>63</v>
      </c>
      <c r="N896" s="11">
        <f t="shared" si="1"/>
        <v>63</v>
      </c>
      <c r="O896" s="15" t="s">
        <v>577</v>
      </c>
      <c r="P896" s="15">
        <v>7</v>
      </c>
      <c r="Q896" s="14"/>
      <c r="R896" s="14"/>
      <c r="S896" s="14"/>
      <c r="T896" s="14"/>
      <c r="U896" s="14"/>
      <c r="V896" s="14"/>
      <c r="W896" s="14"/>
      <c r="X896" s="14"/>
      <c r="Y896" s="14"/>
      <c r="Z896" s="14"/>
      <c r="AA896" s="14"/>
    </row>
    <row r="897" spans="1:27" ht="15.75" hidden="1" customHeight="1" x14ac:dyDescent="0.2">
      <c r="A897" s="7" t="s">
        <v>193</v>
      </c>
      <c r="B897" s="7" t="s">
        <v>431</v>
      </c>
      <c r="C897" s="7" t="s">
        <v>466</v>
      </c>
      <c r="D897" s="8">
        <v>6</v>
      </c>
      <c r="E897" s="9">
        <v>193087</v>
      </c>
      <c r="F897" s="9">
        <v>1056279</v>
      </c>
      <c r="G897" s="9">
        <v>9.5443829999999998</v>
      </c>
      <c r="H897" s="9">
        <v>-83.795567000000005</v>
      </c>
      <c r="I897" s="7">
        <v>2597</v>
      </c>
      <c r="J897" s="7" t="s">
        <v>20</v>
      </c>
      <c r="K897" s="10">
        <v>41438</v>
      </c>
      <c r="L897" s="10">
        <v>41471</v>
      </c>
      <c r="M897" s="11">
        <f t="shared" si="51"/>
        <v>34</v>
      </c>
      <c r="N897" s="11">
        <f t="shared" si="1"/>
        <v>34</v>
      </c>
      <c r="O897" s="8" t="s">
        <v>578</v>
      </c>
      <c r="P897" s="8">
        <v>7</v>
      </c>
      <c r="Q897" s="14"/>
      <c r="R897" s="14"/>
      <c r="S897" s="14"/>
      <c r="T897" s="14"/>
      <c r="U897" s="14"/>
      <c r="V897" s="14"/>
      <c r="W897" s="14"/>
      <c r="X897" s="14"/>
      <c r="Y897" s="14"/>
      <c r="Z897" s="14"/>
      <c r="AA897" s="14"/>
    </row>
    <row r="898" spans="1:27" ht="15.75" hidden="1" customHeight="1" x14ac:dyDescent="0.2">
      <c r="A898" s="7" t="s">
        <v>182</v>
      </c>
      <c r="B898" s="7" t="s">
        <v>431</v>
      </c>
      <c r="C898" s="7" t="s">
        <v>466</v>
      </c>
      <c r="D898" s="8">
        <v>6</v>
      </c>
      <c r="E898" s="9">
        <v>193073</v>
      </c>
      <c r="F898" s="9">
        <v>1056283</v>
      </c>
      <c r="G898" s="9">
        <v>9.5443829999999998</v>
      </c>
      <c r="H898" s="9">
        <v>-83.795567000000005</v>
      </c>
      <c r="I898" s="7">
        <v>2596</v>
      </c>
      <c r="J898" s="7" t="s">
        <v>20</v>
      </c>
      <c r="K898" s="10">
        <v>41810</v>
      </c>
      <c r="L898" s="10">
        <v>41844</v>
      </c>
      <c r="M898" s="11">
        <f t="shared" si="51"/>
        <v>35</v>
      </c>
      <c r="N898" s="11">
        <f t="shared" si="1"/>
        <v>35</v>
      </c>
      <c r="O898" s="8"/>
      <c r="P898" s="8">
        <v>7</v>
      </c>
      <c r="Q898" s="14"/>
      <c r="R898" s="14"/>
      <c r="S898" s="14"/>
      <c r="T898" s="14"/>
      <c r="U898" s="14"/>
      <c r="V898" s="14"/>
      <c r="W898" s="14"/>
      <c r="X898" s="14"/>
      <c r="Y898" s="14"/>
      <c r="Z898" s="14"/>
      <c r="AA898" s="14"/>
    </row>
    <row r="899" spans="1:27" ht="15.75" hidden="1" customHeight="1" x14ac:dyDescent="0.2">
      <c r="A899" s="7" t="s">
        <v>133</v>
      </c>
      <c r="B899" s="7" t="s">
        <v>431</v>
      </c>
      <c r="C899" s="7" t="s">
        <v>466</v>
      </c>
      <c r="D899" s="8">
        <v>6</v>
      </c>
      <c r="E899" s="9">
        <v>193073</v>
      </c>
      <c r="F899" s="9">
        <v>1056283</v>
      </c>
      <c r="G899" s="9">
        <v>9.5443829999999998</v>
      </c>
      <c r="H899" s="9">
        <v>-83.795567000000005</v>
      </c>
      <c r="I899" s="7">
        <v>2596</v>
      </c>
      <c r="J899" s="7" t="s">
        <v>20</v>
      </c>
      <c r="K899" s="10">
        <v>42163</v>
      </c>
      <c r="L899" s="10">
        <v>42181</v>
      </c>
      <c r="M899" s="11">
        <f t="shared" si="51"/>
        <v>19</v>
      </c>
      <c r="N899" s="11">
        <f t="shared" si="1"/>
        <v>19</v>
      </c>
      <c r="O899" s="8"/>
      <c r="P899" s="8">
        <v>7</v>
      </c>
      <c r="Q899" s="14"/>
      <c r="R899" s="14"/>
      <c r="S899" s="14"/>
      <c r="T899" s="14"/>
      <c r="U899" s="14"/>
      <c r="V899" s="14"/>
      <c r="W899" s="14"/>
      <c r="X899" s="14"/>
      <c r="Y899" s="14"/>
      <c r="Z899" s="14"/>
      <c r="AA899" s="14"/>
    </row>
    <row r="900" spans="1:27" ht="15.75" hidden="1" customHeight="1" x14ac:dyDescent="0.2">
      <c r="A900" s="7" t="s">
        <v>134</v>
      </c>
      <c r="B900" s="7" t="s">
        <v>431</v>
      </c>
      <c r="C900" s="7" t="s">
        <v>466</v>
      </c>
      <c r="D900" s="8">
        <v>6</v>
      </c>
      <c r="E900" s="9">
        <v>193073</v>
      </c>
      <c r="F900" s="9">
        <v>1056283</v>
      </c>
      <c r="G900" s="9">
        <v>9.5443829999999998</v>
      </c>
      <c r="H900" s="9">
        <v>-83.795567000000005</v>
      </c>
      <c r="I900" s="7">
        <v>2596</v>
      </c>
      <c r="J900" s="7" t="s">
        <v>20</v>
      </c>
      <c r="K900" s="10">
        <v>42570</v>
      </c>
      <c r="L900" s="10">
        <v>42623</v>
      </c>
      <c r="M900" s="11">
        <f t="shared" si="51"/>
        <v>54</v>
      </c>
      <c r="N900" s="11">
        <f t="shared" si="1"/>
        <v>54</v>
      </c>
      <c r="O900" s="8"/>
      <c r="P900" s="8">
        <v>7</v>
      </c>
      <c r="Q900" s="14"/>
      <c r="R900" s="14"/>
      <c r="S900" s="14"/>
      <c r="T900" s="14"/>
      <c r="U900" s="14"/>
      <c r="V900" s="14"/>
      <c r="W900" s="14"/>
      <c r="X900" s="14"/>
      <c r="Y900" s="14"/>
      <c r="Z900" s="14"/>
      <c r="AA900" s="14"/>
    </row>
    <row r="901" spans="1:27" ht="15.75" hidden="1" customHeight="1" x14ac:dyDescent="0.2">
      <c r="A901" s="7" t="s">
        <v>186</v>
      </c>
      <c r="B901" s="7" t="s">
        <v>431</v>
      </c>
      <c r="C901" s="7" t="s">
        <v>466</v>
      </c>
      <c r="D901" s="8">
        <v>6</v>
      </c>
      <c r="E901" s="9">
        <v>193073</v>
      </c>
      <c r="F901" s="9">
        <v>1056283</v>
      </c>
      <c r="G901" s="9">
        <v>9.5443829999999998</v>
      </c>
      <c r="H901" s="9">
        <v>-83.795567000000005</v>
      </c>
      <c r="I901" s="7">
        <v>2596</v>
      </c>
      <c r="J901" s="7" t="s">
        <v>20</v>
      </c>
      <c r="K901" s="10">
        <v>42880</v>
      </c>
      <c r="L901" s="10">
        <v>42893</v>
      </c>
      <c r="M901" s="11">
        <f t="shared" si="51"/>
        <v>14</v>
      </c>
      <c r="N901" s="11">
        <f t="shared" si="1"/>
        <v>14</v>
      </c>
      <c r="O901" s="8"/>
      <c r="P901" s="8">
        <v>7</v>
      </c>
      <c r="Q901" s="14"/>
      <c r="R901" s="14"/>
      <c r="S901" s="14"/>
      <c r="T901" s="14"/>
      <c r="U901" s="14"/>
      <c r="V901" s="14"/>
      <c r="W901" s="14"/>
      <c r="X901" s="14"/>
      <c r="Y901" s="14"/>
      <c r="Z901" s="14"/>
      <c r="AA901" s="14"/>
    </row>
    <row r="902" spans="1:27" ht="15.75" hidden="1" customHeight="1" x14ac:dyDescent="0.2">
      <c r="A902" s="7" t="s">
        <v>297</v>
      </c>
      <c r="B902" s="7" t="s">
        <v>431</v>
      </c>
      <c r="C902" s="7" t="s">
        <v>466</v>
      </c>
      <c r="D902" s="8">
        <v>6</v>
      </c>
      <c r="E902" s="9">
        <v>193073</v>
      </c>
      <c r="F902" s="9">
        <v>1056283</v>
      </c>
      <c r="G902" s="9">
        <v>9.5443829999999998</v>
      </c>
      <c r="H902" s="9">
        <v>-83.795567000000005</v>
      </c>
      <c r="I902" s="7">
        <v>2596</v>
      </c>
      <c r="J902" s="7" t="s">
        <v>20</v>
      </c>
      <c r="K902" s="10">
        <v>43277</v>
      </c>
      <c r="L902" s="10">
        <v>43301</v>
      </c>
      <c r="M902" s="11">
        <f t="shared" si="51"/>
        <v>25</v>
      </c>
      <c r="N902" s="11">
        <f t="shared" si="1"/>
        <v>25</v>
      </c>
      <c r="O902" s="8"/>
      <c r="P902" s="8">
        <v>7</v>
      </c>
      <c r="Q902" s="14"/>
      <c r="R902" s="14"/>
      <c r="S902" s="14"/>
      <c r="T902" s="14"/>
      <c r="U902" s="14"/>
      <c r="V902" s="14"/>
      <c r="W902" s="14"/>
      <c r="X902" s="14"/>
      <c r="Y902" s="14"/>
      <c r="Z902" s="14"/>
      <c r="AA902" s="14"/>
    </row>
    <row r="903" spans="1:27" ht="15.75" hidden="1" customHeight="1" x14ac:dyDescent="0.2">
      <c r="A903" s="20" t="s">
        <v>297</v>
      </c>
      <c r="B903" s="20" t="s">
        <v>431</v>
      </c>
      <c r="C903" s="20" t="s">
        <v>466</v>
      </c>
      <c r="D903" s="8">
        <v>6</v>
      </c>
      <c r="E903" s="22">
        <v>193073</v>
      </c>
      <c r="F903" s="22">
        <v>1056283</v>
      </c>
      <c r="G903" s="22">
        <v>9.5443829999999998</v>
      </c>
      <c r="H903" s="22">
        <v>-83.795567000000005</v>
      </c>
      <c r="I903" s="20">
        <v>2596</v>
      </c>
      <c r="J903" s="20" t="s">
        <v>20</v>
      </c>
      <c r="K903" s="23"/>
      <c r="L903" s="23"/>
      <c r="M903" s="24">
        <f t="shared" si="51"/>
        <v>0</v>
      </c>
      <c r="N903" s="11">
        <f t="shared" si="1"/>
        <v>0</v>
      </c>
      <c r="O903" s="25"/>
      <c r="P903" s="21">
        <v>7</v>
      </c>
      <c r="Q903" s="14"/>
      <c r="R903" s="14"/>
      <c r="S903" s="14"/>
      <c r="T903" s="14"/>
      <c r="U903" s="14"/>
      <c r="V903" s="14"/>
      <c r="W903" s="14"/>
      <c r="X903" s="14"/>
      <c r="Y903" s="14"/>
      <c r="Z903" s="14"/>
      <c r="AA903" s="14"/>
    </row>
    <row r="904" spans="1:27" ht="15.75" hidden="1" customHeight="1" x14ac:dyDescent="0.2">
      <c r="A904" s="14" t="s">
        <v>444</v>
      </c>
      <c r="B904" s="14" t="s">
        <v>431</v>
      </c>
      <c r="C904" s="14" t="s">
        <v>466</v>
      </c>
      <c r="D904" s="8">
        <v>6</v>
      </c>
      <c r="E904" s="16">
        <v>193073</v>
      </c>
      <c r="F904" s="16">
        <v>1056283</v>
      </c>
      <c r="G904" s="16">
        <v>9.5443829999999998</v>
      </c>
      <c r="H904" s="16">
        <v>-83.795567000000005</v>
      </c>
      <c r="I904" s="14">
        <v>2596</v>
      </c>
      <c r="J904" s="14" t="s">
        <v>20</v>
      </c>
      <c r="K904" s="17">
        <v>43566</v>
      </c>
      <c r="L904" s="17">
        <v>43628</v>
      </c>
      <c r="M904" s="18">
        <f t="shared" si="51"/>
        <v>63</v>
      </c>
      <c r="N904" s="11">
        <f t="shared" si="1"/>
        <v>63</v>
      </c>
      <c r="O904" s="15" t="s">
        <v>579</v>
      </c>
      <c r="P904" s="15">
        <v>7</v>
      </c>
      <c r="Q904" s="14"/>
      <c r="R904" s="14"/>
      <c r="S904" s="14"/>
      <c r="T904" s="14"/>
      <c r="U904" s="14"/>
      <c r="V904" s="14"/>
      <c r="W904" s="14"/>
      <c r="X904" s="14"/>
      <c r="Y904" s="14"/>
      <c r="Z904" s="14"/>
      <c r="AA904" s="14"/>
    </row>
    <row r="905" spans="1:27" ht="15.75" hidden="1" customHeight="1" x14ac:dyDescent="0.2">
      <c r="A905" s="14" t="s">
        <v>444</v>
      </c>
      <c r="B905" s="14" t="s">
        <v>431</v>
      </c>
      <c r="C905" s="14" t="s">
        <v>466</v>
      </c>
      <c r="D905" s="8">
        <v>6</v>
      </c>
      <c r="E905" s="16">
        <v>193073</v>
      </c>
      <c r="F905" s="16">
        <v>1056283</v>
      </c>
      <c r="G905" s="16">
        <v>9.5443829999999998</v>
      </c>
      <c r="H905" s="16">
        <v>-83.795567000000005</v>
      </c>
      <c r="I905" s="14">
        <v>2596</v>
      </c>
      <c r="J905" s="14" t="s">
        <v>20</v>
      </c>
      <c r="K905" s="17">
        <v>43649</v>
      </c>
      <c r="L905" s="17">
        <v>43693</v>
      </c>
      <c r="M905" s="18">
        <f t="shared" si="51"/>
        <v>45</v>
      </c>
      <c r="N905" s="11">
        <f t="shared" si="1"/>
        <v>45</v>
      </c>
      <c r="O905" s="15" t="s">
        <v>580</v>
      </c>
      <c r="P905" s="15">
        <v>7</v>
      </c>
      <c r="Q905" s="14"/>
      <c r="R905" s="14"/>
      <c r="S905" s="14"/>
      <c r="T905" s="14"/>
      <c r="U905" s="14"/>
      <c r="V905" s="14"/>
      <c r="W905" s="14"/>
      <c r="X905" s="14"/>
      <c r="Y905" s="14"/>
      <c r="Z905" s="14"/>
      <c r="AA905" s="14"/>
    </row>
    <row r="906" spans="1:27" ht="15.75" hidden="1" customHeight="1" x14ac:dyDescent="0.2">
      <c r="A906" s="7" t="s">
        <v>16</v>
      </c>
      <c r="B906" s="7" t="s">
        <v>431</v>
      </c>
      <c r="C906" s="7" t="s">
        <v>466</v>
      </c>
      <c r="D906" s="8">
        <v>5</v>
      </c>
      <c r="E906" s="9">
        <v>193531</v>
      </c>
      <c r="F906" s="9">
        <v>1056762</v>
      </c>
      <c r="G906" s="9">
        <v>9.5485500000000005</v>
      </c>
      <c r="H906" s="9">
        <v>-83.791499999999999</v>
      </c>
      <c r="I906" s="7">
        <v>2637</v>
      </c>
      <c r="J906" s="7" t="s">
        <v>20</v>
      </c>
      <c r="K906" s="10">
        <v>41492</v>
      </c>
      <c r="L906" s="10">
        <v>41548</v>
      </c>
      <c r="M906" s="11">
        <f t="shared" si="51"/>
        <v>57</v>
      </c>
      <c r="N906" s="11">
        <f t="shared" si="1"/>
        <v>57</v>
      </c>
      <c r="O906" s="8"/>
      <c r="P906" s="8">
        <v>43</v>
      </c>
      <c r="Q906" s="14"/>
      <c r="R906" s="14"/>
      <c r="S906" s="14"/>
      <c r="T906" s="14"/>
      <c r="U906" s="14"/>
      <c r="V906" s="14"/>
      <c r="W906" s="14"/>
      <c r="X906" s="14"/>
      <c r="Y906" s="14"/>
      <c r="Z906" s="14"/>
      <c r="AA906" s="14"/>
    </row>
    <row r="907" spans="1:27" ht="15.75" hidden="1" customHeight="1" x14ac:dyDescent="0.2">
      <c r="A907" s="7" t="s">
        <v>36</v>
      </c>
      <c r="B907" s="7" t="s">
        <v>431</v>
      </c>
      <c r="C907" s="7" t="s">
        <v>466</v>
      </c>
      <c r="D907" s="8">
        <v>5</v>
      </c>
      <c r="E907" s="9">
        <v>193531</v>
      </c>
      <c r="F907" s="9">
        <v>1056762</v>
      </c>
      <c r="G907" s="9">
        <v>9.5485500000000005</v>
      </c>
      <c r="H907" s="9">
        <v>-83.791499999999999</v>
      </c>
      <c r="I907" s="7">
        <v>2637</v>
      </c>
      <c r="J907" s="7" t="s">
        <v>20</v>
      </c>
      <c r="K907" s="10">
        <v>41851</v>
      </c>
      <c r="L907" s="10">
        <v>41965</v>
      </c>
      <c r="M907" s="11">
        <f t="shared" si="51"/>
        <v>115</v>
      </c>
      <c r="N907" s="11">
        <f t="shared" si="1"/>
        <v>115</v>
      </c>
      <c r="O907" s="8"/>
      <c r="P907" s="8">
        <v>43</v>
      </c>
      <c r="Q907" s="14"/>
      <c r="R907" s="14"/>
      <c r="S907" s="14"/>
      <c r="T907" s="14"/>
      <c r="U907" s="14"/>
      <c r="V907" s="14"/>
      <c r="W907" s="14"/>
      <c r="X907" s="14"/>
      <c r="Y907" s="14"/>
      <c r="Z907" s="14"/>
      <c r="AA907" s="14"/>
    </row>
    <row r="908" spans="1:27" ht="15.75" hidden="1" customHeight="1" x14ac:dyDescent="0.2">
      <c r="A908" s="7" t="s">
        <v>165</v>
      </c>
      <c r="B908" s="7" t="s">
        <v>431</v>
      </c>
      <c r="C908" s="7" t="s">
        <v>466</v>
      </c>
      <c r="D908" s="8">
        <v>5</v>
      </c>
      <c r="E908" s="9">
        <v>193531</v>
      </c>
      <c r="F908" s="9">
        <v>1056762</v>
      </c>
      <c r="G908" s="9">
        <v>9.5485500000000005</v>
      </c>
      <c r="H908" s="9">
        <v>-83.791499999999999</v>
      </c>
      <c r="I908" s="7">
        <v>2637</v>
      </c>
      <c r="J908" s="7" t="s">
        <v>20</v>
      </c>
      <c r="K908" s="10">
        <v>42624</v>
      </c>
      <c r="L908" s="10">
        <v>42719</v>
      </c>
      <c r="M908" s="11">
        <f t="shared" si="51"/>
        <v>96</v>
      </c>
      <c r="N908" s="11">
        <f t="shared" si="1"/>
        <v>96</v>
      </c>
      <c r="O908" s="8"/>
      <c r="P908" s="8">
        <v>43</v>
      </c>
      <c r="Q908" s="14"/>
      <c r="R908" s="14"/>
      <c r="S908" s="14"/>
      <c r="T908" s="14"/>
      <c r="U908" s="14"/>
      <c r="V908" s="14"/>
      <c r="W908" s="14"/>
      <c r="X908" s="14"/>
      <c r="Y908" s="14"/>
      <c r="Z908" s="14"/>
      <c r="AA908" s="14"/>
    </row>
    <row r="909" spans="1:27" ht="15.75" hidden="1" customHeight="1" x14ac:dyDescent="0.2">
      <c r="A909" s="7" t="s">
        <v>128</v>
      </c>
      <c r="B909" s="7" t="s">
        <v>431</v>
      </c>
      <c r="C909" s="7" t="s">
        <v>466</v>
      </c>
      <c r="D909" s="8">
        <v>5</v>
      </c>
      <c r="E909" s="9">
        <v>193531</v>
      </c>
      <c r="F909" s="9">
        <v>1056762</v>
      </c>
      <c r="G909" s="9">
        <v>9.5485500000000005</v>
      </c>
      <c r="H909" s="9">
        <v>-83.791499999999999</v>
      </c>
      <c r="I909" s="7">
        <v>2637</v>
      </c>
      <c r="J909" s="7" t="s">
        <v>20</v>
      </c>
      <c r="K909" s="10">
        <v>42894</v>
      </c>
      <c r="L909" s="10">
        <v>43101</v>
      </c>
      <c r="M909" s="11">
        <v>181</v>
      </c>
      <c r="N909" s="11">
        <f t="shared" si="1"/>
        <v>208</v>
      </c>
      <c r="O909" s="8"/>
      <c r="P909" s="8">
        <v>43</v>
      </c>
      <c r="Q909" s="14"/>
      <c r="R909" s="14"/>
      <c r="S909" s="14"/>
      <c r="T909" s="14"/>
      <c r="U909" s="14"/>
      <c r="V909" s="14"/>
      <c r="W909" s="14"/>
      <c r="X909" s="14"/>
      <c r="Y909" s="14"/>
      <c r="Z909" s="14"/>
      <c r="AA909" s="14"/>
    </row>
    <row r="910" spans="1:27" ht="15.75" hidden="1" customHeight="1" x14ac:dyDescent="0.2">
      <c r="A910" s="14" t="s">
        <v>287</v>
      </c>
      <c r="B910" s="14" t="s">
        <v>431</v>
      </c>
      <c r="C910" s="14" t="s">
        <v>466</v>
      </c>
      <c r="D910" s="8">
        <v>5</v>
      </c>
      <c r="E910" s="16">
        <v>193531</v>
      </c>
      <c r="F910" s="16">
        <v>1056762</v>
      </c>
      <c r="G910" s="16">
        <v>9.5485500000000005</v>
      </c>
      <c r="H910" s="16">
        <v>-83.791499999999999</v>
      </c>
      <c r="I910" s="14">
        <v>2637</v>
      </c>
      <c r="J910" s="14" t="s">
        <v>20</v>
      </c>
      <c r="K910" s="17">
        <v>43301</v>
      </c>
      <c r="L910" s="17">
        <v>43316</v>
      </c>
      <c r="M910" s="18">
        <f t="shared" ref="M910:M923" si="52">IF(ISBLANK(K910),0,IF(ISBLANK(L910),0,L910-K910+1))</f>
        <v>16</v>
      </c>
      <c r="N910" s="11">
        <f t="shared" si="1"/>
        <v>16</v>
      </c>
      <c r="O910" s="15" t="s">
        <v>581</v>
      </c>
      <c r="P910" s="15">
        <v>43</v>
      </c>
      <c r="Q910" s="14"/>
      <c r="R910" s="14"/>
      <c r="S910" s="14"/>
      <c r="T910" s="14"/>
      <c r="U910" s="14"/>
      <c r="V910" s="14"/>
      <c r="W910" s="14"/>
      <c r="X910" s="14"/>
      <c r="Y910" s="14"/>
      <c r="Z910" s="14"/>
      <c r="AA910" s="14"/>
    </row>
    <row r="911" spans="1:27" ht="15.75" hidden="1" customHeight="1" x14ac:dyDescent="0.2">
      <c r="A911" s="14" t="s">
        <v>287</v>
      </c>
      <c r="B911" s="14" t="s">
        <v>431</v>
      </c>
      <c r="C911" s="14" t="s">
        <v>466</v>
      </c>
      <c r="D911" s="8">
        <v>5</v>
      </c>
      <c r="E911" s="16">
        <v>193531</v>
      </c>
      <c r="F911" s="16">
        <v>1056762</v>
      </c>
      <c r="G911" s="16">
        <v>9.5485500000000005</v>
      </c>
      <c r="H911" s="16">
        <v>-83.791499999999999</v>
      </c>
      <c r="I911" s="14">
        <v>2637</v>
      </c>
      <c r="J911" s="14" t="s">
        <v>20</v>
      </c>
      <c r="K911" s="17">
        <v>43318</v>
      </c>
      <c r="L911" s="17">
        <v>43338</v>
      </c>
      <c r="M911" s="18">
        <f t="shared" si="52"/>
        <v>21</v>
      </c>
      <c r="N911" s="11">
        <f t="shared" si="1"/>
        <v>21</v>
      </c>
      <c r="O911" s="15" t="s">
        <v>582</v>
      </c>
      <c r="P911" s="15">
        <v>43</v>
      </c>
      <c r="Q911" s="14"/>
      <c r="R911" s="14"/>
      <c r="S911" s="14"/>
      <c r="T911" s="14"/>
      <c r="U911" s="14"/>
      <c r="V911" s="14"/>
      <c r="W911" s="14"/>
      <c r="X911" s="14"/>
      <c r="Y911" s="14"/>
      <c r="Z911" s="14"/>
      <c r="AA911" s="14"/>
    </row>
    <row r="912" spans="1:27" ht="15.75" hidden="1" customHeight="1" x14ac:dyDescent="0.2">
      <c r="A912" s="14" t="s">
        <v>287</v>
      </c>
      <c r="B912" s="14" t="s">
        <v>431</v>
      </c>
      <c r="C912" s="14" t="s">
        <v>466</v>
      </c>
      <c r="D912" s="8">
        <v>5</v>
      </c>
      <c r="E912" s="16">
        <v>193531</v>
      </c>
      <c r="F912" s="16">
        <v>1056762</v>
      </c>
      <c r="G912" s="16">
        <v>9.5485500000000005</v>
      </c>
      <c r="H912" s="16">
        <v>-83.791499999999999</v>
      </c>
      <c r="I912" s="14">
        <v>2637</v>
      </c>
      <c r="J912" s="14" t="s">
        <v>20</v>
      </c>
      <c r="K912" s="17">
        <v>43339</v>
      </c>
      <c r="L912" s="17">
        <v>43392</v>
      </c>
      <c r="M912" s="18">
        <f t="shared" si="52"/>
        <v>54</v>
      </c>
      <c r="N912" s="11">
        <f t="shared" si="1"/>
        <v>54</v>
      </c>
      <c r="O912" s="15" t="s">
        <v>583</v>
      </c>
      <c r="P912" s="15">
        <v>43</v>
      </c>
      <c r="Q912" s="14"/>
      <c r="R912" s="14"/>
      <c r="S912" s="14"/>
      <c r="T912" s="14"/>
      <c r="U912" s="14"/>
      <c r="V912" s="14"/>
      <c r="W912" s="14"/>
      <c r="X912" s="14"/>
      <c r="Y912" s="14"/>
      <c r="Z912" s="14"/>
      <c r="AA912" s="14"/>
    </row>
    <row r="913" spans="1:27" ht="15.75" hidden="1" customHeight="1" x14ac:dyDescent="0.2">
      <c r="A913" s="14" t="s">
        <v>287</v>
      </c>
      <c r="B913" s="14" t="s">
        <v>431</v>
      </c>
      <c r="C913" s="14" t="s">
        <v>466</v>
      </c>
      <c r="D913" s="8">
        <v>5</v>
      </c>
      <c r="E913" s="16">
        <v>193531</v>
      </c>
      <c r="F913" s="16">
        <v>1056762</v>
      </c>
      <c r="G913" s="16">
        <v>9.5485500000000005</v>
      </c>
      <c r="H913" s="16">
        <v>-83.791499999999999</v>
      </c>
      <c r="I913" s="14">
        <v>2637</v>
      </c>
      <c r="J913" s="14" t="s">
        <v>20</v>
      </c>
      <c r="K913" s="17">
        <v>43393</v>
      </c>
      <c r="L913" s="17">
        <v>43419</v>
      </c>
      <c r="M913" s="18">
        <f t="shared" si="52"/>
        <v>27</v>
      </c>
      <c r="N913" s="11">
        <f t="shared" si="1"/>
        <v>27</v>
      </c>
      <c r="O913" s="15" t="s">
        <v>584</v>
      </c>
      <c r="P913" s="15">
        <v>43</v>
      </c>
      <c r="Q913" s="14"/>
      <c r="R913" s="14"/>
      <c r="S913" s="14"/>
      <c r="T913" s="14"/>
      <c r="U913" s="14"/>
      <c r="V913" s="14"/>
      <c r="W913" s="14"/>
      <c r="X913" s="14"/>
      <c r="Y913" s="14"/>
      <c r="Z913" s="14"/>
      <c r="AA913" s="14"/>
    </row>
    <row r="914" spans="1:27" ht="15.75" hidden="1" customHeight="1" x14ac:dyDescent="0.2">
      <c r="A914" s="14" t="s">
        <v>287</v>
      </c>
      <c r="B914" s="14" t="s">
        <v>431</v>
      </c>
      <c r="C914" s="14" t="s">
        <v>466</v>
      </c>
      <c r="D914" s="8">
        <v>5</v>
      </c>
      <c r="E914" s="16">
        <v>193531</v>
      </c>
      <c r="F914" s="16">
        <v>1056762</v>
      </c>
      <c r="G914" s="16">
        <v>9.5485500000000005</v>
      </c>
      <c r="H914" s="16">
        <v>-83.791499999999999</v>
      </c>
      <c r="I914" s="14">
        <v>2637</v>
      </c>
      <c r="J914" s="14" t="s">
        <v>20</v>
      </c>
      <c r="K914" s="17">
        <v>43420</v>
      </c>
      <c r="L914" s="17">
        <v>43437</v>
      </c>
      <c r="M914" s="18">
        <f t="shared" si="52"/>
        <v>18</v>
      </c>
      <c r="N914" s="11">
        <f t="shared" si="1"/>
        <v>18</v>
      </c>
      <c r="O914" s="15" t="s">
        <v>585</v>
      </c>
      <c r="P914" s="15">
        <v>43</v>
      </c>
      <c r="Q914" s="14"/>
      <c r="R914" s="14"/>
      <c r="S914" s="14"/>
      <c r="T914" s="14"/>
      <c r="U914" s="14"/>
      <c r="V914" s="14"/>
      <c r="W914" s="14"/>
      <c r="X914" s="14"/>
      <c r="Y914" s="14"/>
      <c r="Z914" s="14"/>
      <c r="AA914" s="14"/>
    </row>
    <row r="915" spans="1:27" ht="15.75" hidden="1" customHeight="1" x14ac:dyDescent="0.2">
      <c r="A915" s="14" t="s">
        <v>287</v>
      </c>
      <c r="B915" s="14" t="s">
        <v>431</v>
      </c>
      <c r="C915" s="14" t="s">
        <v>466</v>
      </c>
      <c r="D915" s="8">
        <v>5</v>
      </c>
      <c r="E915" s="16">
        <v>193531</v>
      </c>
      <c r="F915" s="16">
        <v>1056762</v>
      </c>
      <c r="G915" s="16">
        <v>9.5485500000000005</v>
      </c>
      <c r="H915" s="16">
        <v>-83.791499999999999</v>
      </c>
      <c r="I915" s="14">
        <v>2637</v>
      </c>
      <c r="J915" s="14" t="s">
        <v>20</v>
      </c>
      <c r="K915" s="17">
        <v>43438</v>
      </c>
      <c r="L915" s="17">
        <v>43452</v>
      </c>
      <c r="M915" s="18">
        <f t="shared" si="52"/>
        <v>15</v>
      </c>
      <c r="N915" s="11">
        <f t="shared" si="1"/>
        <v>15</v>
      </c>
      <c r="O915" s="15" t="s">
        <v>586</v>
      </c>
      <c r="P915" s="15">
        <v>43</v>
      </c>
      <c r="Q915" s="14"/>
      <c r="R915" s="14"/>
      <c r="S915" s="14"/>
      <c r="T915" s="14"/>
      <c r="U915" s="14"/>
      <c r="V915" s="14"/>
      <c r="W915" s="14"/>
      <c r="X915" s="14"/>
      <c r="Y915" s="14"/>
      <c r="Z915" s="14"/>
      <c r="AA915" s="14"/>
    </row>
    <row r="916" spans="1:27" ht="15.75" hidden="1" customHeight="1" x14ac:dyDescent="0.2">
      <c r="A916" s="14" t="s">
        <v>287</v>
      </c>
      <c r="B916" s="14" t="s">
        <v>431</v>
      </c>
      <c r="C916" s="14" t="s">
        <v>466</v>
      </c>
      <c r="D916" s="8">
        <v>5</v>
      </c>
      <c r="E916" s="16">
        <v>193531</v>
      </c>
      <c r="F916" s="16">
        <v>1056762</v>
      </c>
      <c r="G916" s="16">
        <v>9.5485500000000005</v>
      </c>
      <c r="H916" s="16">
        <v>-83.791499999999999</v>
      </c>
      <c r="I916" s="14">
        <v>2637</v>
      </c>
      <c r="J916" s="14" t="s">
        <v>20</v>
      </c>
      <c r="K916" s="17">
        <v>43453</v>
      </c>
      <c r="L916" s="17">
        <v>43453</v>
      </c>
      <c r="M916" s="18">
        <f t="shared" si="52"/>
        <v>1</v>
      </c>
      <c r="N916" s="11">
        <f t="shared" si="1"/>
        <v>1</v>
      </c>
      <c r="O916" s="15" t="s">
        <v>587</v>
      </c>
      <c r="P916" s="15">
        <v>43</v>
      </c>
      <c r="Q916" s="14"/>
      <c r="R916" s="14"/>
      <c r="S916" s="14"/>
      <c r="T916" s="14"/>
      <c r="U916" s="14"/>
      <c r="V916" s="14"/>
      <c r="W916" s="14"/>
      <c r="X916" s="14"/>
      <c r="Y916" s="14"/>
      <c r="Z916" s="14"/>
      <c r="AA916" s="14"/>
    </row>
    <row r="917" spans="1:27" ht="15.75" hidden="1" customHeight="1" x14ac:dyDescent="0.2">
      <c r="A917" s="14" t="s">
        <v>287</v>
      </c>
      <c r="B917" s="14" t="s">
        <v>431</v>
      </c>
      <c r="C917" s="14" t="s">
        <v>466</v>
      </c>
      <c r="D917" s="8">
        <v>5</v>
      </c>
      <c r="E917" s="16">
        <v>193531</v>
      </c>
      <c r="F917" s="16">
        <v>1056762</v>
      </c>
      <c r="G917" s="16">
        <v>9.5485500000000005</v>
      </c>
      <c r="H917" s="16">
        <v>-83.791499999999999</v>
      </c>
      <c r="I917" s="14">
        <v>2637</v>
      </c>
      <c r="J917" s="14" t="s">
        <v>20</v>
      </c>
      <c r="K917" s="17">
        <v>43465</v>
      </c>
      <c r="L917" s="17">
        <v>43466</v>
      </c>
      <c r="M917" s="18">
        <f t="shared" si="52"/>
        <v>2</v>
      </c>
      <c r="N917" s="11">
        <f t="shared" si="1"/>
        <v>2</v>
      </c>
      <c r="O917" s="15" t="s">
        <v>588</v>
      </c>
      <c r="P917" s="15">
        <v>43</v>
      </c>
      <c r="Q917" s="14"/>
      <c r="R917" s="14"/>
      <c r="S917" s="14"/>
      <c r="T917" s="14"/>
      <c r="U917" s="14"/>
      <c r="V917" s="14"/>
      <c r="W917" s="14"/>
      <c r="X917" s="14"/>
      <c r="Y917" s="14"/>
      <c r="Z917" s="14"/>
      <c r="AA917" s="14"/>
    </row>
    <row r="918" spans="1:27" ht="15.75" hidden="1" customHeight="1" x14ac:dyDescent="0.2">
      <c r="A918" s="14" t="s">
        <v>287</v>
      </c>
      <c r="B918" s="14" t="s">
        <v>431</v>
      </c>
      <c r="C918" s="14" t="s">
        <v>466</v>
      </c>
      <c r="D918" s="8">
        <v>5</v>
      </c>
      <c r="E918" s="16">
        <v>193531</v>
      </c>
      <c r="F918" s="16">
        <v>1056762</v>
      </c>
      <c r="G918" s="16">
        <v>9.5485500000000005</v>
      </c>
      <c r="H918" s="16">
        <v>-83.791499999999999</v>
      </c>
      <c r="I918" s="14">
        <v>2637</v>
      </c>
      <c r="J918" s="14" t="s">
        <v>20</v>
      </c>
      <c r="K918" s="17">
        <v>43472</v>
      </c>
      <c r="L918" s="17">
        <v>43495</v>
      </c>
      <c r="M918" s="18">
        <f t="shared" si="52"/>
        <v>24</v>
      </c>
      <c r="N918" s="11">
        <f t="shared" si="1"/>
        <v>24</v>
      </c>
      <c r="O918" s="15" t="s">
        <v>589</v>
      </c>
      <c r="P918" s="15">
        <v>43</v>
      </c>
      <c r="Q918" s="14"/>
      <c r="R918" s="14"/>
      <c r="S918" s="14"/>
      <c r="T918" s="14"/>
      <c r="U918" s="14"/>
      <c r="V918" s="14"/>
      <c r="W918" s="14"/>
      <c r="X918" s="14"/>
      <c r="Y918" s="14"/>
      <c r="Z918" s="14"/>
      <c r="AA918" s="14"/>
    </row>
    <row r="919" spans="1:27" ht="15.75" hidden="1" customHeight="1" x14ac:dyDescent="0.2">
      <c r="A919" s="7" t="s">
        <v>40</v>
      </c>
      <c r="B919" s="7" t="s">
        <v>431</v>
      </c>
      <c r="C919" s="7" t="s">
        <v>466</v>
      </c>
      <c r="D919" s="8">
        <v>5</v>
      </c>
      <c r="E919" s="9">
        <v>193536</v>
      </c>
      <c r="F919" s="9">
        <v>1056746</v>
      </c>
      <c r="G919" s="9">
        <v>9.5485500000000005</v>
      </c>
      <c r="H919" s="9">
        <v>-83.791499999999999</v>
      </c>
      <c r="I919" s="7">
        <v>2626</v>
      </c>
      <c r="J919" s="7" t="s">
        <v>20</v>
      </c>
      <c r="K919" s="10">
        <v>41334</v>
      </c>
      <c r="L919" s="10">
        <v>41449</v>
      </c>
      <c r="M919" s="11">
        <f t="shared" si="52"/>
        <v>116</v>
      </c>
      <c r="N919" s="11">
        <f t="shared" si="1"/>
        <v>116</v>
      </c>
      <c r="O919" s="8"/>
      <c r="P919" s="8">
        <v>43</v>
      </c>
      <c r="Q919" s="14"/>
      <c r="R919" s="14"/>
      <c r="S919" s="14"/>
      <c r="T919" s="14"/>
      <c r="U919" s="14"/>
      <c r="V919" s="14"/>
      <c r="W919" s="14"/>
      <c r="X919" s="14"/>
      <c r="Y919" s="14"/>
      <c r="Z919" s="14"/>
      <c r="AA919" s="14"/>
    </row>
    <row r="920" spans="1:27" ht="15.75" hidden="1" customHeight="1" x14ac:dyDescent="0.2">
      <c r="A920" s="7" t="s">
        <v>42</v>
      </c>
      <c r="B920" s="7" t="s">
        <v>431</v>
      </c>
      <c r="C920" s="7" t="s">
        <v>466</v>
      </c>
      <c r="D920" s="8">
        <v>5</v>
      </c>
      <c r="E920" s="9">
        <v>193531</v>
      </c>
      <c r="F920" s="9">
        <v>1056762</v>
      </c>
      <c r="G920" s="9">
        <v>9.5485500000000005</v>
      </c>
      <c r="H920" s="9">
        <v>-83.791499999999999</v>
      </c>
      <c r="I920" s="7">
        <v>2637</v>
      </c>
      <c r="J920" s="7" t="s">
        <v>20</v>
      </c>
      <c r="K920" s="10">
        <v>41702</v>
      </c>
      <c r="L920" s="10">
        <v>41807</v>
      </c>
      <c r="M920" s="11">
        <f t="shared" si="52"/>
        <v>106</v>
      </c>
      <c r="N920" s="11">
        <f t="shared" si="1"/>
        <v>106</v>
      </c>
      <c r="O920" s="8"/>
      <c r="P920" s="8">
        <v>43</v>
      </c>
      <c r="Q920" s="14"/>
      <c r="R920" s="14"/>
      <c r="S920" s="14"/>
      <c r="T920" s="14"/>
      <c r="U920" s="14"/>
      <c r="V920" s="14"/>
      <c r="W920" s="14"/>
      <c r="X920" s="14"/>
      <c r="Y920" s="14"/>
      <c r="Z920" s="14"/>
      <c r="AA920" s="14"/>
    </row>
    <row r="921" spans="1:27" ht="15.75" hidden="1" customHeight="1" x14ac:dyDescent="0.2">
      <c r="A921" s="7" t="s">
        <v>47</v>
      </c>
      <c r="B921" s="7" t="s">
        <v>431</v>
      </c>
      <c r="C921" s="7" t="s">
        <v>466</v>
      </c>
      <c r="D921" s="8">
        <v>5</v>
      </c>
      <c r="E921" s="9">
        <v>193531</v>
      </c>
      <c r="F921" s="9">
        <v>1056762</v>
      </c>
      <c r="G921" s="9">
        <v>9.5485500000000005</v>
      </c>
      <c r="H921" s="9">
        <v>-83.791499999999999</v>
      </c>
      <c r="I921" s="7">
        <v>2637</v>
      </c>
      <c r="J921" s="7" t="s">
        <v>20</v>
      </c>
      <c r="K921" s="10">
        <v>42080</v>
      </c>
      <c r="L921" s="10">
        <v>42080</v>
      </c>
      <c r="M921" s="11">
        <f t="shared" si="52"/>
        <v>1</v>
      </c>
      <c r="N921" s="11">
        <f t="shared" si="1"/>
        <v>1</v>
      </c>
      <c r="O921" s="8"/>
      <c r="P921" s="8">
        <v>43</v>
      </c>
      <c r="Q921" s="14"/>
      <c r="R921" s="14"/>
      <c r="S921" s="14"/>
      <c r="T921" s="14"/>
      <c r="U921" s="14"/>
      <c r="V921" s="14"/>
      <c r="W921" s="14"/>
      <c r="X921" s="14"/>
      <c r="Y921" s="14"/>
      <c r="Z921" s="14"/>
      <c r="AA921" s="14"/>
    </row>
    <row r="922" spans="1:27" ht="15.75" hidden="1" customHeight="1" x14ac:dyDescent="0.2">
      <c r="A922" s="7" t="s">
        <v>130</v>
      </c>
      <c r="B922" s="7" t="s">
        <v>431</v>
      </c>
      <c r="C922" s="7" t="s">
        <v>466</v>
      </c>
      <c r="D922" s="8">
        <v>5</v>
      </c>
      <c r="E922" s="9">
        <v>193531</v>
      </c>
      <c r="F922" s="9">
        <v>1056762</v>
      </c>
      <c r="G922" s="9">
        <v>9.5485500000000005</v>
      </c>
      <c r="H922" s="9">
        <v>-83.791499999999999</v>
      </c>
      <c r="I922" s="7">
        <v>2637</v>
      </c>
      <c r="J922" s="7" t="s">
        <v>20</v>
      </c>
      <c r="K922" s="10">
        <v>42353</v>
      </c>
      <c r="L922" s="10">
        <v>42454</v>
      </c>
      <c r="M922" s="11">
        <f t="shared" si="52"/>
        <v>102</v>
      </c>
      <c r="N922" s="11">
        <f t="shared" si="1"/>
        <v>102</v>
      </c>
      <c r="O922" s="8"/>
      <c r="P922" s="8">
        <v>43</v>
      </c>
      <c r="Q922" s="14"/>
      <c r="R922" s="14"/>
      <c r="S922" s="14"/>
      <c r="T922" s="14"/>
      <c r="U922" s="14"/>
      <c r="V922" s="14"/>
      <c r="W922" s="14"/>
      <c r="X922" s="14"/>
      <c r="Y922" s="14"/>
      <c r="Z922" s="14"/>
      <c r="AA922" s="14"/>
    </row>
    <row r="923" spans="1:27" ht="15.75" hidden="1" customHeight="1" x14ac:dyDescent="0.2">
      <c r="A923" s="7" t="s">
        <v>131</v>
      </c>
      <c r="B923" s="7" t="s">
        <v>431</v>
      </c>
      <c r="C923" s="7" t="s">
        <v>466</v>
      </c>
      <c r="D923" s="8">
        <v>5</v>
      </c>
      <c r="E923" s="9">
        <v>193531</v>
      </c>
      <c r="F923" s="9">
        <v>1056762</v>
      </c>
      <c r="G923" s="9">
        <v>9.5485500000000005</v>
      </c>
      <c r="H923" s="9">
        <v>-83.791499999999999</v>
      </c>
      <c r="I923" s="7">
        <v>2637</v>
      </c>
      <c r="J923" s="7" t="s">
        <v>20</v>
      </c>
      <c r="K923" s="10">
        <v>42749</v>
      </c>
      <c r="L923" s="10">
        <v>42822</v>
      </c>
      <c r="M923" s="11">
        <f t="shared" si="52"/>
        <v>74</v>
      </c>
      <c r="N923" s="11">
        <f t="shared" si="1"/>
        <v>74</v>
      </c>
      <c r="O923" s="8"/>
      <c r="P923" s="8">
        <v>43</v>
      </c>
      <c r="Q923" s="14"/>
      <c r="R923" s="14"/>
      <c r="S923" s="14"/>
      <c r="T923" s="14"/>
      <c r="U923" s="14"/>
      <c r="V923" s="14"/>
      <c r="W923" s="14"/>
      <c r="X923" s="14"/>
      <c r="Y923" s="14"/>
      <c r="Z923" s="14"/>
      <c r="AA923" s="14"/>
    </row>
    <row r="924" spans="1:27" ht="15.75" hidden="1" customHeight="1" x14ac:dyDescent="0.2">
      <c r="A924" s="7" t="s">
        <v>132</v>
      </c>
      <c r="B924" s="7" t="s">
        <v>431</v>
      </c>
      <c r="C924" s="7" t="s">
        <v>466</v>
      </c>
      <c r="D924" s="8">
        <v>5</v>
      </c>
      <c r="E924" s="9">
        <v>193531</v>
      </c>
      <c r="F924" s="9">
        <v>1056762</v>
      </c>
      <c r="G924" s="9">
        <v>9.5485500000000005</v>
      </c>
      <c r="H924" s="9">
        <v>-83.791499999999999</v>
      </c>
      <c r="I924" s="7">
        <v>2637</v>
      </c>
      <c r="J924" s="7" t="s">
        <v>20</v>
      </c>
      <c r="K924" s="10">
        <v>43102</v>
      </c>
      <c r="L924" s="10">
        <v>43276</v>
      </c>
      <c r="M924" s="11">
        <v>103</v>
      </c>
      <c r="N924" s="11">
        <f t="shared" si="1"/>
        <v>175</v>
      </c>
      <c r="O924" s="8"/>
      <c r="P924" s="8">
        <v>43</v>
      </c>
      <c r="Q924" s="14"/>
      <c r="R924" s="14"/>
      <c r="S924" s="14"/>
      <c r="T924" s="14"/>
      <c r="U924" s="14"/>
      <c r="V924" s="14"/>
      <c r="W924" s="14"/>
      <c r="X924" s="14"/>
      <c r="Y924" s="14"/>
      <c r="Z924" s="14"/>
      <c r="AA924" s="14"/>
    </row>
    <row r="925" spans="1:27" ht="15.75" hidden="1" customHeight="1" x14ac:dyDescent="0.2">
      <c r="A925" s="14" t="s">
        <v>230</v>
      </c>
      <c r="B925" s="14" t="s">
        <v>431</v>
      </c>
      <c r="C925" s="14" t="s">
        <v>466</v>
      </c>
      <c r="D925" s="8">
        <v>5</v>
      </c>
      <c r="E925" s="16">
        <v>193531</v>
      </c>
      <c r="F925" s="16">
        <v>1056762</v>
      </c>
      <c r="G925" s="16">
        <v>9.5485500000000005</v>
      </c>
      <c r="H925" s="16">
        <v>-83.791499999999999</v>
      </c>
      <c r="I925" s="14">
        <v>2637</v>
      </c>
      <c r="J925" s="14" t="s">
        <v>20</v>
      </c>
      <c r="K925" s="17">
        <v>43553</v>
      </c>
      <c r="L925" s="17">
        <v>43562</v>
      </c>
      <c r="M925" s="18">
        <f t="shared" ref="M925:M932" si="53">IF(ISBLANK(K925),0,IF(ISBLANK(L925),0,L925-K925+1))</f>
        <v>10</v>
      </c>
      <c r="N925" s="11">
        <f t="shared" si="1"/>
        <v>10</v>
      </c>
      <c r="O925" s="15" t="s">
        <v>590</v>
      </c>
      <c r="P925" s="15">
        <v>43</v>
      </c>
      <c r="Q925" s="14"/>
      <c r="R925" s="14"/>
      <c r="S925" s="14"/>
      <c r="T925" s="14"/>
      <c r="U925" s="14"/>
      <c r="V925" s="14"/>
      <c r="W925" s="14"/>
      <c r="X925" s="14"/>
      <c r="Y925" s="14"/>
      <c r="Z925" s="14"/>
      <c r="AA925" s="14"/>
    </row>
    <row r="926" spans="1:27" ht="15.75" hidden="1" customHeight="1" x14ac:dyDescent="0.2">
      <c r="A926" s="14" t="s">
        <v>230</v>
      </c>
      <c r="B926" s="14" t="s">
        <v>431</v>
      </c>
      <c r="C926" s="14" t="s">
        <v>466</v>
      </c>
      <c r="D926" s="8">
        <v>5</v>
      </c>
      <c r="E926" s="16">
        <v>193531</v>
      </c>
      <c r="F926" s="16">
        <v>1056762</v>
      </c>
      <c r="G926" s="16">
        <v>9.5485500000000005</v>
      </c>
      <c r="H926" s="16">
        <v>-83.791499999999999</v>
      </c>
      <c r="I926" s="14">
        <v>2637</v>
      </c>
      <c r="J926" s="14" t="s">
        <v>20</v>
      </c>
      <c r="K926" s="17">
        <v>43495</v>
      </c>
      <c r="L926" s="17">
        <v>43518</v>
      </c>
      <c r="M926" s="18">
        <f t="shared" si="53"/>
        <v>24</v>
      </c>
      <c r="N926" s="11">
        <f t="shared" si="1"/>
        <v>24</v>
      </c>
      <c r="O926" s="15" t="s">
        <v>591</v>
      </c>
      <c r="P926" s="15">
        <v>43</v>
      </c>
      <c r="Q926" s="14"/>
      <c r="R926" s="14"/>
      <c r="S926" s="14"/>
      <c r="T926" s="14"/>
      <c r="U926" s="14"/>
      <c r="V926" s="14"/>
      <c r="W926" s="14"/>
      <c r="X926" s="14"/>
      <c r="Y926" s="14"/>
      <c r="Z926" s="14"/>
      <c r="AA926" s="14"/>
    </row>
    <row r="927" spans="1:27" ht="15.75" hidden="1" customHeight="1" x14ac:dyDescent="0.2">
      <c r="A927" s="14" t="s">
        <v>230</v>
      </c>
      <c r="B927" s="14" t="s">
        <v>431</v>
      </c>
      <c r="C927" s="14" t="s">
        <v>466</v>
      </c>
      <c r="D927" s="8">
        <v>5</v>
      </c>
      <c r="E927" s="16">
        <v>193531</v>
      </c>
      <c r="F927" s="16">
        <v>1056762</v>
      </c>
      <c r="G927" s="16">
        <v>9.5485500000000005</v>
      </c>
      <c r="H927" s="16">
        <v>-83.791499999999999</v>
      </c>
      <c r="I927" s="14">
        <v>2637</v>
      </c>
      <c r="J927" s="14" t="s">
        <v>20</v>
      </c>
      <c r="K927" s="17">
        <v>43519</v>
      </c>
      <c r="L927" s="17">
        <v>43538</v>
      </c>
      <c r="M927" s="18">
        <f t="shared" si="53"/>
        <v>20</v>
      </c>
      <c r="N927" s="11">
        <f t="shared" si="1"/>
        <v>20</v>
      </c>
      <c r="O927" s="15" t="s">
        <v>592</v>
      </c>
      <c r="P927" s="15">
        <v>43</v>
      </c>
      <c r="Q927" s="14"/>
      <c r="R927" s="14"/>
      <c r="S927" s="14"/>
      <c r="T927" s="14"/>
      <c r="U927" s="14"/>
      <c r="V927" s="14"/>
      <c r="W927" s="14"/>
      <c r="X927" s="14"/>
      <c r="Y927" s="14"/>
      <c r="Z927" s="14"/>
      <c r="AA927" s="14"/>
    </row>
    <row r="928" spans="1:27" ht="15.75" hidden="1" customHeight="1" x14ac:dyDescent="0.2">
      <c r="A928" s="14" t="s">
        <v>230</v>
      </c>
      <c r="B928" s="14" t="s">
        <v>431</v>
      </c>
      <c r="C928" s="14" t="s">
        <v>466</v>
      </c>
      <c r="D928" s="8">
        <v>5</v>
      </c>
      <c r="E928" s="16">
        <v>193531</v>
      </c>
      <c r="F928" s="16">
        <v>1056762</v>
      </c>
      <c r="G928" s="16">
        <v>9.5485500000000005</v>
      </c>
      <c r="H928" s="16">
        <v>-83.791499999999999</v>
      </c>
      <c r="I928" s="14">
        <v>2637</v>
      </c>
      <c r="J928" s="14" t="s">
        <v>20</v>
      </c>
      <c r="K928" s="17">
        <v>43539</v>
      </c>
      <c r="L928" s="17">
        <v>43553</v>
      </c>
      <c r="M928" s="18">
        <f t="shared" si="53"/>
        <v>15</v>
      </c>
      <c r="N928" s="11">
        <f t="shared" si="1"/>
        <v>15</v>
      </c>
      <c r="O928" s="15" t="s">
        <v>593</v>
      </c>
      <c r="P928" s="15">
        <v>43</v>
      </c>
      <c r="Q928" s="14"/>
      <c r="R928" s="14"/>
      <c r="S928" s="14"/>
      <c r="T928" s="14"/>
      <c r="U928" s="14"/>
      <c r="V928" s="14"/>
      <c r="W928" s="14"/>
      <c r="X928" s="14"/>
      <c r="Y928" s="14"/>
      <c r="Z928" s="14"/>
      <c r="AA928" s="14"/>
    </row>
    <row r="929" spans="1:27" ht="15.75" hidden="1" customHeight="1" x14ac:dyDescent="0.2">
      <c r="A929" s="14" t="s">
        <v>230</v>
      </c>
      <c r="B929" s="14" t="s">
        <v>431</v>
      </c>
      <c r="C929" s="14" t="s">
        <v>466</v>
      </c>
      <c r="D929" s="8">
        <v>5</v>
      </c>
      <c r="E929" s="16">
        <v>193531</v>
      </c>
      <c r="F929" s="16">
        <v>1056762</v>
      </c>
      <c r="G929" s="16">
        <v>9.5485500000000005</v>
      </c>
      <c r="H929" s="16">
        <v>-83.791499999999999</v>
      </c>
      <c r="I929" s="14">
        <v>2637</v>
      </c>
      <c r="J929" s="14" t="s">
        <v>20</v>
      </c>
      <c r="K929" s="17">
        <v>43566</v>
      </c>
      <c r="L929" s="17">
        <v>43628</v>
      </c>
      <c r="M929" s="18">
        <f t="shared" si="53"/>
        <v>63</v>
      </c>
      <c r="N929" s="11">
        <f t="shared" si="1"/>
        <v>63</v>
      </c>
      <c r="O929" s="15" t="s">
        <v>594</v>
      </c>
      <c r="P929" s="15">
        <v>43</v>
      </c>
      <c r="Q929" s="14"/>
      <c r="R929" s="14"/>
      <c r="S929" s="14"/>
      <c r="T929" s="14"/>
      <c r="U929" s="14"/>
      <c r="V929" s="14"/>
      <c r="W929" s="14"/>
      <c r="X929" s="14"/>
      <c r="Y929" s="14"/>
      <c r="Z929" s="14"/>
      <c r="AA929" s="14"/>
    </row>
    <row r="930" spans="1:27" ht="15.75" hidden="1" customHeight="1" x14ac:dyDescent="0.2">
      <c r="A930" s="7" t="s">
        <v>193</v>
      </c>
      <c r="B930" s="7" t="s">
        <v>431</v>
      </c>
      <c r="C930" s="7" t="s">
        <v>466</v>
      </c>
      <c r="D930" s="8">
        <v>5</v>
      </c>
      <c r="E930" s="9">
        <v>193536</v>
      </c>
      <c r="F930" s="9">
        <v>1056746</v>
      </c>
      <c r="G930" s="9">
        <v>9.5485500000000005</v>
      </c>
      <c r="H930" s="9">
        <v>-83.791499999999999</v>
      </c>
      <c r="I930" s="7">
        <v>2626</v>
      </c>
      <c r="J930" s="7" t="s">
        <v>20</v>
      </c>
      <c r="K930" s="10">
        <v>41461</v>
      </c>
      <c r="L930" s="10">
        <v>41487</v>
      </c>
      <c r="M930" s="11">
        <f t="shared" si="53"/>
        <v>27</v>
      </c>
      <c r="N930" s="11">
        <f t="shared" si="1"/>
        <v>27</v>
      </c>
      <c r="O930" s="8"/>
      <c r="P930" s="8">
        <v>43</v>
      </c>
      <c r="Q930" s="14"/>
      <c r="R930" s="14"/>
      <c r="S930" s="14"/>
      <c r="T930" s="14"/>
      <c r="U930" s="14"/>
      <c r="V930" s="14"/>
      <c r="W930" s="14"/>
      <c r="X930" s="14"/>
      <c r="Y930" s="14"/>
      <c r="Z930" s="14"/>
      <c r="AA930" s="14"/>
    </row>
    <row r="931" spans="1:27" ht="15.75" hidden="1" customHeight="1" x14ac:dyDescent="0.2">
      <c r="A931" s="7" t="s">
        <v>182</v>
      </c>
      <c r="B931" s="7" t="s">
        <v>431</v>
      </c>
      <c r="C931" s="7" t="s">
        <v>466</v>
      </c>
      <c r="D931" s="8">
        <v>5</v>
      </c>
      <c r="E931" s="9">
        <v>193531</v>
      </c>
      <c r="F931" s="9">
        <v>1056762</v>
      </c>
      <c r="G931" s="9">
        <v>9.5485500000000005</v>
      </c>
      <c r="H931" s="9">
        <v>-83.791499999999999</v>
      </c>
      <c r="I931" s="7">
        <v>2637</v>
      </c>
      <c r="J931" s="7" t="s">
        <v>20</v>
      </c>
      <c r="K931" s="10">
        <v>41812</v>
      </c>
      <c r="L931" s="10">
        <v>41840</v>
      </c>
      <c r="M931" s="11">
        <f t="shared" si="53"/>
        <v>29</v>
      </c>
      <c r="N931" s="11">
        <f t="shared" si="1"/>
        <v>29</v>
      </c>
      <c r="O931" s="8"/>
      <c r="P931" s="8">
        <v>43</v>
      </c>
      <c r="Q931" s="14"/>
      <c r="R931" s="14"/>
      <c r="S931" s="14"/>
      <c r="T931" s="14"/>
      <c r="U931" s="14"/>
      <c r="V931" s="14"/>
      <c r="W931" s="14"/>
      <c r="X931" s="14"/>
      <c r="Y931" s="14"/>
      <c r="Z931" s="14"/>
      <c r="AA931" s="14"/>
    </row>
    <row r="932" spans="1:27" ht="15.75" hidden="1" customHeight="1" x14ac:dyDescent="0.2">
      <c r="A932" s="7" t="s">
        <v>133</v>
      </c>
      <c r="B932" s="7" t="s">
        <v>431</v>
      </c>
      <c r="C932" s="7" t="s">
        <v>466</v>
      </c>
      <c r="D932" s="8">
        <v>5</v>
      </c>
      <c r="E932" s="9">
        <v>193531</v>
      </c>
      <c r="F932" s="9">
        <v>1056762</v>
      </c>
      <c r="G932" s="9">
        <v>9.5485500000000005</v>
      </c>
      <c r="H932" s="9">
        <v>-83.791499999999999</v>
      </c>
      <c r="I932" s="7">
        <v>2637</v>
      </c>
      <c r="J932" s="7" t="s">
        <v>20</v>
      </c>
      <c r="K932" s="10">
        <v>42159</v>
      </c>
      <c r="L932" s="10">
        <v>42171</v>
      </c>
      <c r="M932" s="11">
        <f t="shared" si="53"/>
        <v>13</v>
      </c>
      <c r="N932" s="11">
        <f t="shared" si="1"/>
        <v>13</v>
      </c>
      <c r="O932" s="8"/>
      <c r="P932" s="8">
        <v>43</v>
      </c>
      <c r="Q932" s="14"/>
      <c r="R932" s="14"/>
      <c r="S932" s="14"/>
      <c r="T932" s="14"/>
      <c r="U932" s="14"/>
      <c r="V932" s="14"/>
      <c r="W932" s="14"/>
      <c r="X932" s="14"/>
      <c r="Y932" s="14"/>
      <c r="Z932" s="14"/>
      <c r="AA932" s="14"/>
    </row>
    <row r="933" spans="1:27" ht="15.75" hidden="1" customHeight="1" x14ac:dyDescent="0.2">
      <c r="A933" s="7" t="s">
        <v>134</v>
      </c>
      <c r="B933" s="7" t="s">
        <v>431</v>
      </c>
      <c r="C933" s="7" t="s">
        <v>466</v>
      </c>
      <c r="D933" s="8">
        <v>5</v>
      </c>
      <c r="E933" s="9">
        <v>193531</v>
      </c>
      <c r="F933" s="9">
        <v>1056762</v>
      </c>
      <c r="G933" s="9">
        <v>9.5485500000000005</v>
      </c>
      <c r="H933" s="9">
        <v>-83.791499999999999</v>
      </c>
      <c r="I933" s="7">
        <v>2637</v>
      </c>
      <c r="J933" s="7" t="s">
        <v>20</v>
      </c>
      <c r="K933" s="10">
        <v>42570</v>
      </c>
      <c r="L933" s="10">
        <v>42623</v>
      </c>
      <c r="M933" s="11">
        <v>48</v>
      </c>
      <c r="N933" s="11">
        <f t="shared" si="1"/>
        <v>54</v>
      </c>
      <c r="O933" s="8"/>
      <c r="P933" s="8">
        <v>43</v>
      </c>
      <c r="Q933" s="14"/>
      <c r="R933" s="14"/>
      <c r="S933" s="14"/>
      <c r="T933" s="14"/>
      <c r="U933" s="14"/>
      <c r="V933" s="14"/>
      <c r="W933" s="14"/>
      <c r="X933" s="14"/>
      <c r="Y933" s="14"/>
      <c r="Z933" s="14"/>
      <c r="AA933" s="14"/>
    </row>
    <row r="934" spans="1:27" ht="15.75" hidden="1" customHeight="1" x14ac:dyDescent="0.2">
      <c r="A934" s="7" t="s">
        <v>186</v>
      </c>
      <c r="B934" s="7" t="s">
        <v>431</v>
      </c>
      <c r="C934" s="7" t="s">
        <v>466</v>
      </c>
      <c r="D934" s="8">
        <v>5</v>
      </c>
      <c r="E934" s="9">
        <v>193531</v>
      </c>
      <c r="F934" s="9">
        <v>1056762</v>
      </c>
      <c r="G934" s="9">
        <v>9.5485500000000005</v>
      </c>
      <c r="H934" s="9">
        <v>-83.791499999999999</v>
      </c>
      <c r="I934" s="7">
        <v>2637</v>
      </c>
      <c r="J934" s="7" t="s">
        <v>20</v>
      </c>
      <c r="K934" s="10">
        <v>42880</v>
      </c>
      <c r="L934" s="10">
        <v>42893</v>
      </c>
      <c r="M934" s="11">
        <f t="shared" ref="M934:M943" si="54">IF(ISBLANK(K934),0,IF(ISBLANK(L934),0,L934-K934+1))</f>
        <v>14</v>
      </c>
      <c r="N934" s="11">
        <f t="shared" si="1"/>
        <v>14</v>
      </c>
      <c r="O934" s="8"/>
      <c r="P934" s="8">
        <v>43</v>
      </c>
      <c r="Q934" s="14"/>
      <c r="R934" s="14"/>
      <c r="S934" s="14"/>
      <c r="T934" s="14"/>
      <c r="U934" s="14"/>
      <c r="V934" s="14"/>
      <c r="W934" s="14"/>
      <c r="X934" s="14"/>
      <c r="Y934" s="14"/>
      <c r="Z934" s="14"/>
      <c r="AA934" s="14"/>
    </row>
    <row r="935" spans="1:27" ht="15.75" hidden="1" customHeight="1" x14ac:dyDescent="0.2">
      <c r="A935" s="7" t="s">
        <v>297</v>
      </c>
      <c r="B935" s="7" t="s">
        <v>431</v>
      </c>
      <c r="C935" s="7" t="s">
        <v>466</v>
      </c>
      <c r="D935" s="8">
        <v>5</v>
      </c>
      <c r="E935" s="9">
        <v>193531</v>
      </c>
      <c r="F935" s="9">
        <v>1056762</v>
      </c>
      <c r="G935" s="9">
        <v>9.5485500000000005</v>
      </c>
      <c r="H935" s="9">
        <v>-83.791499999999999</v>
      </c>
      <c r="I935" s="7">
        <v>2637</v>
      </c>
      <c r="J935" s="7" t="s">
        <v>20</v>
      </c>
      <c r="K935" s="10">
        <v>43276</v>
      </c>
      <c r="L935" s="10">
        <v>43301</v>
      </c>
      <c r="M935" s="11">
        <f t="shared" si="54"/>
        <v>26</v>
      </c>
      <c r="N935" s="11">
        <f t="shared" si="1"/>
        <v>26</v>
      </c>
      <c r="O935" s="8"/>
      <c r="P935" s="8">
        <v>43</v>
      </c>
      <c r="Q935" s="14"/>
      <c r="R935" s="14"/>
      <c r="S935" s="14"/>
      <c r="T935" s="14"/>
      <c r="U935" s="14"/>
      <c r="V935" s="14"/>
      <c r="W935" s="14"/>
      <c r="X935" s="14"/>
      <c r="Y935" s="14"/>
      <c r="Z935" s="14"/>
      <c r="AA935" s="14"/>
    </row>
    <row r="936" spans="1:27" ht="15.75" hidden="1" customHeight="1" x14ac:dyDescent="0.2">
      <c r="A936" s="20" t="s">
        <v>297</v>
      </c>
      <c r="B936" s="20" t="s">
        <v>431</v>
      </c>
      <c r="C936" s="20" t="s">
        <v>466</v>
      </c>
      <c r="D936" s="8">
        <v>5</v>
      </c>
      <c r="E936" s="22">
        <v>193531</v>
      </c>
      <c r="F936" s="22">
        <v>1056762</v>
      </c>
      <c r="G936" s="22">
        <v>9.5485500000000005</v>
      </c>
      <c r="H936" s="22">
        <v>-83.791499999999999</v>
      </c>
      <c r="I936" s="20">
        <v>2637</v>
      </c>
      <c r="J936" s="20" t="s">
        <v>20</v>
      </c>
      <c r="K936" s="23"/>
      <c r="L936" s="23"/>
      <c r="M936" s="24">
        <f t="shared" si="54"/>
        <v>0</v>
      </c>
      <c r="N936" s="11">
        <f t="shared" si="1"/>
        <v>0</v>
      </c>
      <c r="O936" s="25"/>
      <c r="P936" s="21">
        <v>43</v>
      </c>
      <c r="Q936" s="14"/>
      <c r="R936" s="14"/>
      <c r="S936" s="14"/>
      <c r="T936" s="14"/>
      <c r="U936" s="14"/>
      <c r="V936" s="14"/>
      <c r="W936" s="14"/>
      <c r="X936" s="14"/>
      <c r="Y936" s="14"/>
      <c r="Z936" s="14"/>
      <c r="AA936" s="14"/>
    </row>
    <row r="937" spans="1:27" ht="15.75" hidden="1" customHeight="1" x14ac:dyDescent="0.2">
      <c r="A937" s="14" t="s">
        <v>444</v>
      </c>
      <c r="B937" s="14" t="s">
        <v>431</v>
      </c>
      <c r="C937" s="14" t="s">
        <v>466</v>
      </c>
      <c r="D937" s="8">
        <v>5</v>
      </c>
      <c r="E937" s="16">
        <v>193531</v>
      </c>
      <c r="F937" s="16">
        <v>1056762</v>
      </c>
      <c r="G937" s="16">
        <v>9.5485500000000005</v>
      </c>
      <c r="H937" s="16">
        <v>-83.791499999999999</v>
      </c>
      <c r="I937" s="14">
        <v>2637</v>
      </c>
      <c r="J937" s="14" t="s">
        <v>20</v>
      </c>
      <c r="K937" s="17">
        <v>43649</v>
      </c>
      <c r="L937" s="17">
        <v>43693</v>
      </c>
      <c r="M937" s="18">
        <f t="shared" si="54"/>
        <v>45</v>
      </c>
      <c r="N937" s="11">
        <f t="shared" si="1"/>
        <v>45</v>
      </c>
      <c r="O937" s="15" t="s">
        <v>595</v>
      </c>
      <c r="P937" s="15">
        <v>43</v>
      </c>
      <c r="Q937" s="14"/>
      <c r="R937" s="14"/>
      <c r="S937" s="14"/>
      <c r="T937" s="14"/>
      <c r="U937" s="14"/>
      <c r="V937" s="14"/>
      <c r="W937" s="14"/>
      <c r="X937" s="14"/>
      <c r="Y937" s="14"/>
      <c r="Z937" s="14"/>
      <c r="AA937" s="14"/>
    </row>
    <row r="938" spans="1:27" ht="15.75" hidden="1" customHeight="1" x14ac:dyDescent="0.2">
      <c r="A938" s="7" t="s">
        <v>438</v>
      </c>
      <c r="B938" s="7" t="s">
        <v>431</v>
      </c>
      <c r="C938" s="7" t="s">
        <v>466</v>
      </c>
      <c r="D938" s="8">
        <v>4</v>
      </c>
      <c r="E938" s="9">
        <v>193636</v>
      </c>
      <c r="F938" s="9">
        <v>1056913</v>
      </c>
      <c r="G938" s="9">
        <v>9.5501299999999993</v>
      </c>
      <c r="H938" s="9">
        <v>-83.790599999999998</v>
      </c>
      <c r="I938" s="7">
        <v>2610</v>
      </c>
      <c r="J938" s="7" t="s">
        <v>20</v>
      </c>
      <c r="K938" s="7"/>
      <c r="L938" s="7"/>
      <c r="M938" s="11">
        <f t="shared" si="54"/>
        <v>0</v>
      </c>
      <c r="N938" s="11">
        <f t="shared" si="1"/>
        <v>0</v>
      </c>
      <c r="O938" s="8"/>
      <c r="P938" s="8">
        <v>1</v>
      </c>
      <c r="Q938" s="14"/>
      <c r="R938" s="14"/>
      <c r="S938" s="14"/>
      <c r="T938" s="14"/>
      <c r="U938" s="14"/>
      <c r="V938" s="14"/>
      <c r="W938" s="14"/>
      <c r="X938" s="14"/>
      <c r="Y938" s="14"/>
      <c r="Z938" s="14"/>
      <c r="AA938" s="14"/>
    </row>
    <row r="939" spans="1:27" ht="15.75" hidden="1" customHeight="1" x14ac:dyDescent="0.2">
      <c r="A939" s="7" t="s">
        <v>52</v>
      </c>
      <c r="B939" s="7" t="s">
        <v>431</v>
      </c>
      <c r="C939" s="7" t="s">
        <v>466</v>
      </c>
      <c r="D939" s="8">
        <v>4</v>
      </c>
      <c r="E939" s="9">
        <v>193587</v>
      </c>
      <c r="F939" s="9">
        <v>1056917</v>
      </c>
      <c r="G939" s="9">
        <v>9.5501670000000001</v>
      </c>
      <c r="H939" s="9">
        <v>-83.791049999999998</v>
      </c>
      <c r="I939" s="7">
        <v>2586</v>
      </c>
      <c r="J939" s="7" t="s">
        <v>20</v>
      </c>
      <c r="K939" s="10">
        <v>41084</v>
      </c>
      <c r="L939" s="10">
        <v>41131</v>
      </c>
      <c r="M939" s="11">
        <f t="shared" si="54"/>
        <v>48</v>
      </c>
      <c r="N939" s="11">
        <f t="shared" si="1"/>
        <v>48</v>
      </c>
      <c r="O939" s="8" t="s">
        <v>62</v>
      </c>
      <c r="P939" s="8">
        <v>1</v>
      </c>
      <c r="Q939" s="14"/>
      <c r="R939" s="14"/>
      <c r="S939" s="14"/>
      <c r="T939" s="14"/>
      <c r="U939" s="14"/>
      <c r="V939" s="14"/>
      <c r="W939" s="14"/>
      <c r="X939" s="14"/>
      <c r="Y939" s="14"/>
      <c r="Z939" s="14"/>
      <c r="AA939" s="14"/>
    </row>
    <row r="940" spans="1:27" ht="15.75" hidden="1" customHeight="1" x14ac:dyDescent="0.2">
      <c r="A940" s="7" t="s">
        <v>61</v>
      </c>
      <c r="B940" s="7" t="s">
        <v>431</v>
      </c>
      <c r="C940" s="7" t="s">
        <v>466</v>
      </c>
      <c r="D940" s="8">
        <v>4</v>
      </c>
      <c r="E940" s="9">
        <v>193587</v>
      </c>
      <c r="F940" s="9">
        <v>1056917</v>
      </c>
      <c r="G940" s="9">
        <v>9.5501670000000001</v>
      </c>
      <c r="H940" s="9">
        <v>-83.791049999999998</v>
      </c>
      <c r="I940" s="7">
        <v>2586</v>
      </c>
      <c r="J940" s="7" t="s">
        <v>20</v>
      </c>
      <c r="K940" s="10">
        <v>41133</v>
      </c>
      <c r="L940" s="10">
        <v>41246</v>
      </c>
      <c r="M940" s="11">
        <f t="shared" si="54"/>
        <v>114</v>
      </c>
      <c r="N940" s="11">
        <f t="shared" si="1"/>
        <v>114</v>
      </c>
      <c r="O940" s="8"/>
      <c r="P940" s="8">
        <v>1</v>
      </c>
      <c r="Q940" s="14"/>
      <c r="R940" s="14"/>
      <c r="S940" s="14"/>
      <c r="T940" s="14"/>
      <c r="U940" s="14"/>
      <c r="V940" s="14"/>
      <c r="W940" s="14"/>
      <c r="X940" s="14"/>
      <c r="Y940" s="14"/>
      <c r="Z940" s="14"/>
      <c r="AA940" s="14"/>
    </row>
    <row r="941" spans="1:27" ht="15.75" hidden="1" customHeight="1" x14ac:dyDescent="0.2">
      <c r="A941" s="7" t="s">
        <v>16</v>
      </c>
      <c r="B941" s="7" t="s">
        <v>431</v>
      </c>
      <c r="C941" s="7" t="s">
        <v>466</v>
      </c>
      <c r="D941" s="8">
        <v>4</v>
      </c>
      <c r="E941" s="9">
        <v>193616</v>
      </c>
      <c r="F941" s="9">
        <v>1056909</v>
      </c>
      <c r="G941" s="9">
        <v>9.5501670000000001</v>
      </c>
      <c r="H941" s="9">
        <v>-83.791049999999998</v>
      </c>
      <c r="I941" s="7">
        <v>2602</v>
      </c>
      <c r="J941" s="7" t="s">
        <v>20</v>
      </c>
      <c r="K941" s="10">
        <v>41485</v>
      </c>
      <c r="L941" s="10">
        <v>41626</v>
      </c>
      <c r="M941" s="11">
        <f t="shared" si="54"/>
        <v>142</v>
      </c>
      <c r="N941" s="11">
        <f t="shared" si="1"/>
        <v>142</v>
      </c>
      <c r="O941" s="8" t="s">
        <v>596</v>
      </c>
      <c r="P941" s="8">
        <v>1</v>
      </c>
      <c r="Q941" s="14"/>
      <c r="R941" s="14"/>
      <c r="S941" s="14"/>
      <c r="T941" s="14"/>
      <c r="U941" s="14"/>
      <c r="V941" s="14"/>
      <c r="W941" s="14"/>
      <c r="X941" s="14"/>
      <c r="Y941" s="14"/>
      <c r="Z941" s="14"/>
      <c r="AA941" s="14"/>
    </row>
    <row r="942" spans="1:27" ht="15.75" hidden="1" customHeight="1" x14ac:dyDescent="0.2">
      <c r="A942" s="7" t="s">
        <v>36</v>
      </c>
      <c r="B942" s="7" t="s">
        <v>431</v>
      </c>
      <c r="C942" s="7" t="s">
        <v>466</v>
      </c>
      <c r="D942" s="8">
        <v>4</v>
      </c>
      <c r="E942" s="9">
        <v>193616</v>
      </c>
      <c r="F942" s="9">
        <v>1056909</v>
      </c>
      <c r="G942" s="9">
        <v>9.5501670000000001</v>
      </c>
      <c r="H942" s="9">
        <v>-83.791049999999998</v>
      </c>
      <c r="I942" s="7">
        <v>2602</v>
      </c>
      <c r="J942" s="7" t="s">
        <v>20</v>
      </c>
      <c r="K942" s="10">
        <v>41850</v>
      </c>
      <c r="L942" s="10">
        <v>41962</v>
      </c>
      <c r="M942" s="11">
        <f t="shared" si="54"/>
        <v>113</v>
      </c>
      <c r="N942" s="11">
        <f t="shared" si="1"/>
        <v>113</v>
      </c>
      <c r="O942" s="8"/>
      <c r="P942" s="8">
        <v>1</v>
      </c>
      <c r="Q942" s="14"/>
      <c r="R942" s="14"/>
      <c r="S942" s="14"/>
      <c r="T942" s="14"/>
      <c r="U942" s="14"/>
      <c r="V942" s="14"/>
      <c r="W942" s="14"/>
      <c r="X942" s="14"/>
      <c r="Y942" s="14"/>
      <c r="Z942" s="14"/>
      <c r="AA942" s="14"/>
    </row>
    <row r="943" spans="1:27" ht="15.75" hidden="1" customHeight="1" x14ac:dyDescent="0.2">
      <c r="A943" s="7" t="s">
        <v>165</v>
      </c>
      <c r="B943" s="7" t="s">
        <v>431</v>
      </c>
      <c r="C943" s="7" t="s">
        <v>466</v>
      </c>
      <c r="D943" s="8">
        <v>4</v>
      </c>
      <c r="E943" s="9">
        <v>193616</v>
      </c>
      <c r="F943" s="9">
        <v>1056909</v>
      </c>
      <c r="G943" s="9">
        <v>9.5501670000000001</v>
      </c>
      <c r="H943" s="9">
        <v>-83.791049999999998</v>
      </c>
      <c r="I943" s="7">
        <v>2602</v>
      </c>
      <c r="J943" s="7" t="s">
        <v>20</v>
      </c>
      <c r="K943" s="10">
        <v>42654</v>
      </c>
      <c r="L943" s="10">
        <v>42721</v>
      </c>
      <c r="M943" s="11">
        <f t="shared" si="54"/>
        <v>68</v>
      </c>
      <c r="N943" s="11">
        <f t="shared" si="1"/>
        <v>68</v>
      </c>
      <c r="O943" s="8" t="s">
        <v>597</v>
      </c>
      <c r="P943" s="8">
        <v>1</v>
      </c>
      <c r="Q943" s="14"/>
      <c r="R943" s="14"/>
      <c r="S943" s="14"/>
      <c r="T943" s="14"/>
      <c r="U943" s="14"/>
      <c r="V943" s="14"/>
      <c r="W943" s="14"/>
      <c r="X943" s="14"/>
      <c r="Y943" s="14"/>
      <c r="Z943" s="14"/>
      <c r="AA943" s="14"/>
    </row>
    <row r="944" spans="1:27" ht="15.75" hidden="1" customHeight="1" x14ac:dyDescent="0.2">
      <c r="A944" s="7" t="s">
        <v>128</v>
      </c>
      <c r="B944" s="7" t="s">
        <v>431</v>
      </c>
      <c r="C944" s="7" t="s">
        <v>466</v>
      </c>
      <c r="D944" s="8">
        <v>4</v>
      </c>
      <c r="E944" s="9">
        <v>193616</v>
      </c>
      <c r="F944" s="9">
        <v>1056909</v>
      </c>
      <c r="G944" s="9">
        <v>9.5501670000000001</v>
      </c>
      <c r="H944" s="9">
        <v>-83.791049999999998</v>
      </c>
      <c r="I944" s="7">
        <v>2602</v>
      </c>
      <c r="J944" s="7" t="s">
        <v>20</v>
      </c>
      <c r="K944" s="10">
        <v>42894</v>
      </c>
      <c r="L944" s="10">
        <v>43101</v>
      </c>
      <c r="M944" s="11">
        <v>193</v>
      </c>
      <c r="N944" s="11">
        <f t="shared" si="1"/>
        <v>208</v>
      </c>
      <c r="O944" s="8"/>
      <c r="P944" s="8">
        <v>1</v>
      </c>
      <c r="Q944" s="14"/>
      <c r="R944" s="14"/>
      <c r="S944" s="14"/>
      <c r="T944" s="14"/>
      <c r="U944" s="14"/>
      <c r="V944" s="14"/>
      <c r="W944" s="14"/>
      <c r="X944" s="14"/>
      <c r="Y944" s="14"/>
      <c r="Z944" s="14"/>
      <c r="AA944" s="14"/>
    </row>
    <row r="945" spans="1:27" ht="15.75" hidden="1" customHeight="1" x14ac:dyDescent="0.2">
      <c r="A945" s="14" t="s">
        <v>287</v>
      </c>
      <c r="B945" s="14" t="s">
        <v>431</v>
      </c>
      <c r="C945" s="14" t="s">
        <v>466</v>
      </c>
      <c r="D945" s="8">
        <v>4</v>
      </c>
      <c r="E945" s="16">
        <v>193616</v>
      </c>
      <c r="F945" s="16">
        <v>1056909</v>
      </c>
      <c r="G945" s="16">
        <v>9.5501670000000001</v>
      </c>
      <c r="H945" s="16">
        <v>-83.791049999999998</v>
      </c>
      <c r="I945" s="14">
        <v>2602</v>
      </c>
      <c r="J945" s="14" t="s">
        <v>20</v>
      </c>
      <c r="K945" s="17">
        <v>43453</v>
      </c>
      <c r="L945" s="17">
        <v>43464</v>
      </c>
      <c r="M945" s="18">
        <f t="shared" ref="M945:M952" si="55">IF(ISBLANK(K945),0,IF(ISBLANK(L945),0,L945-K945+1))</f>
        <v>12</v>
      </c>
      <c r="N945" s="11">
        <f t="shared" si="1"/>
        <v>12</v>
      </c>
      <c r="O945" s="15" t="s">
        <v>598</v>
      </c>
      <c r="P945" s="15">
        <v>1</v>
      </c>
      <c r="Q945" s="14"/>
      <c r="R945" s="14"/>
      <c r="S945" s="14"/>
      <c r="T945" s="14"/>
      <c r="U945" s="14"/>
      <c r="V945" s="14"/>
      <c r="W945" s="14"/>
      <c r="X945" s="14"/>
      <c r="Y945" s="14"/>
      <c r="Z945" s="14"/>
      <c r="AA945" s="14"/>
    </row>
    <row r="946" spans="1:27" ht="15.75" hidden="1" customHeight="1" x14ac:dyDescent="0.2">
      <c r="A946" s="7" t="s">
        <v>452</v>
      </c>
      <c r="B946" s="7" t="s">
        <v>431</v>
      </c>
      <c r="C946" s="7" t="s">
        <v>466</v>
      </c>
      <c r="D946" s="8">
        <v>4</v>
      </c>
      <c r="E946" s="9">
        <v>193636</v>
      </c>
      <c r="F946" s="9">
        <v>1056913</v>
      </c>
      <c r="G946" s="9">
        <v>9.5501299999999993</v>
      </c>
      <c r="H946" s="9">
        <v>-83.790599999999998</v>
      </c>
      <c r="I946" s="7">
        <v>2610</v>
      </c>
      <c r="J946" s="7" t="s">
        <v>20</v>
      </c>
      <c r="K946" s="10">
        <v>40611</v>
      </c>
      <c r="L946" s="10">
        <v>40680</v>
      </c>
      <c r="M946" s="11">
        <f t="shared" si="55"/>
        <v>70</v>
      </c>
      <c r="N946" s="11">
        <f t="shared" si="1"/>
        <v>70</v>
      </c>
      <c r="O946" s="8"/>
      <c r="P946" s="8">
        <v>1</v>
      </c>
      <c r="Q946" s="14"/>
      <c r="R946" s="14"/>
      <c r="S946" s="14"/>
      <c r="T946" s="14"/>
      <c r="U946" s="14"/>
      <c r="V946" s="14"/>
      <c r="W946" s="14"/>
      <c r="X946" s="14"/>
      <c r="Y946" s="14"/>
      <c r="Z946" s="14"/>
      <c r="AA946" s="14"/>
    </row>
    <row r="947" spans="1:27" ht="15.75" hidden="1" customHeight="1" x14ac:dyDescent="0.2">
      <c r="A947" s="7" t="s">
        <v>441</v>
      </c>
      <c r="B947" s="7" t="s">
        <v>431</v>
      </c>
      <c r="C947" s="7" t="s">
        <v>466</v>
      </c>
      <c r="D947" s="8">
        <v>4</v>
      </c>
      <c r="E947" s="9">
        <v>193587</v>
      </c>
      <c r="F947" s="9">
        <v>1056917</v>
      </c>
      <c r="G947" s="9">
        <v>9.5501670000000001</v>
      </c>
      <c r="H947" s="9">
        <v>-83.791049999999998</v>
      </c>
      <c r="I947" s="7">
        <v>2586</v>
      </c>
      <c r="J947" s="7" t="s">
        <v>20</v>
      </c>
      <c r="K947" s="7"/>
      <c r="L947" s="7"/>
      <c r="M947" s="11">
        <f t="shared" si="55"/>
        <v>0</v>
      </c>
      <c r="N947" s="11">
        <f t="shared" si="1"/>
        <v>0</v>
      </c>
      <c r="O947" s="8"/>
      <c r="P947" s="8">
        <v>1</v>
      </c>
      <c r="Q947" s="14"/>
      <c r="R947" s="14"/>
      <c r="S947" s="14"/>
      <c r="T947" s="14"/>
      <c r="U947" s="14"/>
      <c r="V947" s="14"/>
      <c r="W947" s="14"/>
      <c r="X947" s="14"/>
      <c r="Y947" s="14"/>
      <c r="Z947" s="14"/>
      <c r="AA947" s="14"/>
    </row>
    <row r="948" spans="1:27" ht="15.75" hidden="1" customHeight="1" x14ac:dyDescent="0.2">
      <c r="A948" s="7" t="s">
        <v>40</v>
      </c>
      <c r="B948" s="7" t="s">
        <v>431</v>
      </c>
      <c r="C948" s="7" t="s">
        <v>466</v>
      </c>
      <c r="D948" s="8">
        <v>4</v>
      </c>
      <c r="E948" s="9">
        <v>193587</v>
      </c>
      <c r="F948" s="9">
        <v>1056917</v>
      </c>
      <c r="G948" s="9">
        <v>9.5501670000000001</v>
      </c>
      <c r="H948" s="9">
        <v>-83.791049999999998</v>
      </c>
      <c r="I948" s="7">
        <v>2586</v>
      </c>
      <c r="J948" s="7" t="s">
        <v>20</v>
      </c>
      <c r="K948" s="10">
        <v>41280</v>
      </c>
      <c r="L948" s="10">
        <v>41447</v>
      </c>
      <c r="M948" s="11">
        <f t="shared" si="55"/>
        <v>168</v>
      </c>
      <c r="N948" s="11">
        <f t="shared" si="1"/>
        <v>168</v>
      </c>
      <c r="O948" s="8"/>
      <c r="P948" s="8">
        <v>1</v>
      </c>
      <c r="Q948" s="14"/>
      <c r="R948" s="14"/>
      <c r="S948" s="14"/>
      <c r="T948" s="14"/>
      <c r="U948" s="14"/>
      <c r="V948" s="14"/>
      <c r="W948" s="14"/>
      <c r="X948" s="14"/>
      <c r="Y948" s="14"/>
      <c r="Z948" s="14"/>
      <c r="AA948" s="14"/>
    </row>
    <row r="949" spans="1:27" ht="15.75" hidden="1" customHeight="1" x14ac:dyDescent="0.2">
      <c r="A949" s="7" t="s">
        <v>42</v>
      </c>
      <c r="B949" s="7" t="s">
        <v>431</v>
      </c>
      <c r="C949" s="7" t="s">
        <v>466</v>
      </c>
      <c r="D949" s="8">
        <v>4</v>
      </c>
      <c r="E949" s="9">
        <v>193616</v>
      </c>
      <c r="F949" s="9">
        <v>1056909</v>
      </c>
      <c r="G949" s="9">
        <v>9.5501670000000001</v>
      </c>
      <c r="H949" s="9">
        <v>-83.791049999999998</v>
      </c>
      <c r="I949" s="7">
        <v>2602</v>
      </c>
      <c r="J949" s="7" t="s">
        <v>20</v>
      </c>
      <c r="K949" s="10">
        <v>41636</v>
      </c>
      <c r="L949" s="10">
        <v>41788</v>
      </c>
      <c r="M949" s="11">
        <f t="shared" si="55"/>
        <v>153</v>
      </c>
      <c r="N949" s="11">
        <f t="shared" si="1"/>
        <v>153</v>
      </c>
      <c r="O949" s="8"/>
      <c r="P949" s="8">
        <v>1</v>
      </c>
      <c r="Q949" s="14"/>
      <c r="R949" s="14"/>
      <c r="S949" s="14"/>
      <c r="T949" s="14"/>
      <c r="U949" s="14"/>
      <c r="V949" s="14"/>
      <c r="W949" s="14"/>
      <c r="X949" s="14"/>
      <c r="Y949" s="14"/>
      <c r="Z949" s="14"/>
      <c r="AA949" s="14"/>
    </row>
    <row r="950" spans="1:27" ht="15.75" hidden="1" customHeight="1" x14ac:dyDescent="0.2">
      <c r="A950" s="7" t="s">
        <v>47</v>
      </c>
      <c r="B950" s="7" t="s">
        <v>431</v>
      </c>
      <c r="C950" s="7" t="s">
        <v>466</v>
      </c>
      <c r="D950" s="8">
        <v>4</v>
      </c>
      <c r="E950" s="9">
        <v>193616</v>
      </c>
      <c r="F950" s="9">
        <v>1056909</v>
      </c>
      <c r="G950" s="9">
        <v>9.5501670000000001</v>
      </c>
      <c r="H950" s="9">
        <v>-83.791049999999998</v>
      </c>
      <c r="I950" s="7">
        <v>2602</v>
      </c>
      <c r="J950" s="7" t="s">
        <v>20</v>
      </c>
      <c r="K950" s="10">
        <v>42095</v>
      </c>
      <c r="L950" s="10">
        <v>42150</v>
      </c>
      <c r="M950" s="11">
        <f t="shared" si="55"/>
        <v>56</v>
      </c>
      <c r="N950" s="11">
        <f t="shared" si="1"/>
        <v>56</v>
      </c>
      <c r="O950" s="8"/>
      <c r="P950" s="8">
        <v>1</v>
      </c>
      <c r="Q950" s="14"/>
      <c r="R950" s="14"/>
      <c r="S950" s="14"/>
      <c r="T950" s="14"/>
      <c r="U950" s="14"/>
      <c r="V950" s="14"/>
      <c r="W950" s="14"/>
      <c r="X950" s="14"/>
      <c r="Y950" s="14"/>
      <c r="Z950" s="14"/>
      <c r="AA950" s="14"/>
    </row>
    <row r="951" spans="1:27" ht="15.75" hidden="1" customHeight="1" x14ac:dyDescent="0.2">
      <c r="A951" s="7" t="s">
        <v>130</v>
      </c>
      <c r="B951" s="7" t="s">
        <v>431</v>
      </c>
      <c r="C951" s="7" t="s">
        <v>466</v>
      </c>
      <c r="D951" s="8">
        <v>4</v>
      </c>
      <c r="E951" s="9">
        <v>193616</v>
      </c>
      <c r="F951" s="9">
        <v>1056909</v>
      </c>
      <c r="G951" s="9">
        <v>9.5501670000000001</v>
      </c>
      <c r="H951" s="9">
        <v>-83.791049999999998</v>
      </c>
      <c r="I951" s="7">
        <v>2602</v>
      </c>
      <c r="J951" s="7" t="s">
        <v>20</v>
      </c>
      <c r="K951" s="10">
        <v>42353</v>
      </c>
      <c r="L951" s="10">
        <v>42454</v>
      </c>
      <c r="M951" s="11">
        <f t="shared" si="55"/>
        <v>102</v>
      </c>
      <c r="N951" s="11">
        <f t="shared" si="1"/>
        <v>102</v>
      </c>
      <c r="O951" s="8"/>
      <c r="P951" s="8">
        <v>1</v>
      </c>
      <c r="Q951" s="14"/>
      <c r="R951" s="14"/>
      <c r="S951" s="14"/>
      <c r="T951" s="14"/>
      <c r="U951" s="14"/>
      <c r="V951" s="14"/>
      <c r="W951" s="14"/>
      <c r="X951" s="14"/>
      <c r="Y951" s="14"/>
      <c r="Z951" s="14"/>
      <c r="AA951" s="14"/>
    </row>
    <row r="952" spans="1:27" ht="15.75" hidden="1" customHeight="1" x14ac:dyDescent="0.2">
      <c r="A952" s="7" t="s">
        <v>131</v>
      </c>
      <c r="B952" s="7" t="s">
        <v>431</v>
      </c>
      <c r="C952" s="7" t="s">
        <v>466</v>
      </c>
      <c r="D952" s="8">
        <v>4</v>
      </c>
      <c r="E952" s="9">
        <v>193616</v>
      </c>
      <c r="F952" s="9">
        <v>1056909</v>
      </c>
      <c r="G952" s="9">
        <v>9.5501670000000001</v>
      </c>
      <c r="H952" s="9">
        <v>-83.791049999999998</v>
      </c>
      <c r="I952" s="7">
        <v>2602</v>
      </c>
      <c r="J952" s="7" t="s">
        <v>20</v>
      </c>
      <c r="K952" s="10">
        <v>42749</v>
      </c>
      <c r="L952" s="10">
        <v>42822</v>
      </c>
      <c r="M952" s="11">
        <f t="shared" si="55"/>
        <v>74</v>
      </c>
      <c r="N952" s="11">
        <f t="shared" si="1"/>
        <v>74</v>
      </c>
      <c r="O952" s="8"/>
      <c r="P952" s="8">
        <v>1</v>
      </c>
      <c r="Q952" s="14"/>
      <c r="R952" s="14"/>
      <c r="S952" s="14"/>
      <c r="T952" s="14"/>
      <c r="U952" s="14"/>
      <c r="V952" s="14"/>
      <c r="W952" s="14"/>
      <c r="X952" s="14"/>
      <c r="Y952" s="14"/>
      <c r="Z952" s="14"/>
      <c r="AA952" s="14"/>
    </row>
    <row r="953" spans="1:27" ht="15.75" hidden="1" customHeight="1" x14ac:dyDescent="0.2">
      <c r="A953" s="7" t="s">
        <v>132</v>
      </c>
      <c r="B953" s="7" t="s">
        <v>431</v>
      </c>
      <c r="C953" s="7" t="s">
        <v>466</v>
      </c>
      <c r="D953" s="8">
        <v>4</v>
      </c>
      <c r="E953" s="9">
        <v>193616</v>
      </c>
      <c r="F953" s="9">
        <v>1056909</v>
      </c>
      <c r="G953" s="9">
        <v>9.5501670000000001</v>
      </c>
      <c r="H953" s="9">
        <v>-83.791049999999998</v>
      </c>
      <c r="I953" s="7">
        <v>2602</v>
      </c>
      <c r="J953" s="7" t="s">
        <v>20</v>
      </c>
      <c r="K953" s="10">
        <v>43102</v>
      </c>
      <c r="L953" s="10">
        <v>43276</v>
      </c>
      <c r="M953" s="11">
        <v>137</v>
      </c>
      <c r="N953" s="11">
        <f t="shared" si="1"/>
        <v>175</v>
      </c>
      <c r="O953" s="8"/>
      <c r="P953" s="8">
        <v>1</v>
      </c>
      <c r="Q953" s="14"/>
      <c r="R953" s="14"/>
      <c r="S953" s="14"/>
      <c r="T953" s="14"/>
      <c r="U953" s="14"/>
      <c r="V953" s="14"/>
      <c r="W953" s="14"/>
      <c r="X953" s="14"/>
      <c r="Y953" s="14"/>
      <c r="Z953" s="14"/>
      <c r="AA953" s="14"/>
    </row>
    <row r="954" spans="1:27" ht="15.75" hidden="1" customHeight="1" x14ac:dyDescent="0.2">
      <c r="A954" s="14" t="s">
        <v>230</v>
      </c>
      <c r="B954" s="14" t="s">
        <v>431</v>
      </c>
      <c r="C954" s="14" t="s">
        <v>466</v>
      </c>
      <c r="D954" s="8">
        <v>4</v>
      </c>
      <c r="E954" s="16">
        <v>193616</v>
      </c>
      <c r="F954" s="16">
        <v>1056909</v>
      </c>
      <c r="G954" s="16">
        <v>9.5501670000000001</v>
      </c>
      <c r="H954" s="16">
        <v>-83.791049999999998</v>
      </c>
      <c r="I954" s="14">
        <v>2602</v>
      </c>
      <c r="J954" s="14" t="s">
        <v>20</v>
      </c>
      <c r="K954" s="17">
        <v>43551</v>
      </c>
      <c r="L954" s="17">
        <v>43553</v>
      </c>
      <c r="M954" s="18">
        <f t="shared" ref="M954:M957" si="56">IF(ISBLANK(K954),0,IF(ISBLANK(L954),0,L954-K954+1))</f>
        <v>3</v>
      </c>
      <c r="N954" s="11">
        <f t="shared" si="1"/>
        <v>3</v>
      </c>
      <c r="O954" s="15" t="s">
        <v>599</v>
      </c>
      <c r="P954" s="15">
        <v>1</v>
      </c>
      <c r="Q954" s="14"/>
      <c r="R954" s="14"/>
      <c r="S954" s="14"/>
      <c r="T954" s="14"/>
      <c r="U954" s="14"/>
      <c r="V954" s="14"/>
      <c r="W954" s="14"/>
      <c r="X954" s="14"/>
      <c r="Y954" s="14"/>
      <c r="Z954" s="14"/>
      <c r="AA954" s="14"/>
    </row>
    <row r="955" spans="1:27" ht="15.75" hidden="1" customHeight="1" x14ac:dyDescent="0.2">
      <c r="A955" s="14" t="s">
        <v>230</v>
      </c>
      <c r="B955" s="14" t="s">
        <v>431</v>
      </c>
      <c r="C955" s="14" t="s">
        <v>466</v>
      </c>
      <c r="D955" s="8">
        <v>4</v>
      </c>
      <c r="E955" s="16">
        <v>193616</v>
      </c>
      <c r="F955" s="16">
        <v>1056909</v>
      </c>
      <c r="G955" s="16">
        <v>9.5501670000000001</v>
      </c>
      <c r="H955" s="16">
        <v>-83.791049999999998</v>
      </c>
      <c r="I955" s="14">
        <v>2602</v>
      </c>
      <c r="J955" s="14" t="s">
        <v>20</v>
      </c>
      <c r="K955" s="17">
        <v>43554</v>
      </c>
      <c r="L955" s="17">
        <v>43566</v>
      </c>
      <c r="M955" s="18">
        <f t="shared" si="56"/>
        <v>13</v>
      </c>
      <c r="N955" s="11">
        <f t="shared" si="1"/>
        <v>13</v>
      </c>
      <c r="O955" s="15" t="s">
        <v>600</v>
      </c>
      <c r="P955" s="15">
        <v>1</v>
      </c>
      <c r="Q955" s="14"/>
      <c r="R955" s="14"/>
      <c r="S955" s="14"/>
      <c r="T955" s="14"/>
      <c r="U955" s="14"/>
      <c r="V955" s="14"/>
      <c r="W955" s="14"/>
      <c r="X955" s="14"/>
      <c r="Y955" s="14"/>
      <c r="Z955" s="14"/>
      <c r="AA955" s="14"/>
    </row>
    <row r="956" spans="1:27" ht="15.75" hidden="1" customHeight="1" x14ac:dyDescent="0.2">
      <c r="A956" s="14" t="s">
        <v>230</v>
      </c>
      <c r="B956" s="14" t="s">
        <v>431</v>
      </c>
      <c r="C956" s="14" t="s">
        <v>466</v>
      </c>
      <c r="D956" s="8">
        <v>4</v>
      </c>
      <c r="E956" s="16">
        <v>193616</v>
      </c>
      <c r="F956" s="16">
        <v>1056909</v>
      </c>
      <c r="G956" s="16">
        <v>9.5501670000000001</v>
      </c>
      <c r="H956" s="16">
        <v>-83.791049999999998</v>
      </c>
      <c r="I956" s="14">
        <v>2602</v>
      </c>
      <c r="J956" s="14" t="s">
        <v>20</v>
      </c>
      <c r="K956" s="17">
        <v>43567</v>
      </c>
      <c r="L956" s="17">
        <v>43584</v>
      </c>
      <c r="M956" s="18">
        <f t="shared" si="56"/>
        <v>18</v>
      </c>
      <c r="N956" s="11">
        <f t="shared" si="1"/>
        <v>18</v>
      </c>
      <c r="O956" s="15" t="s">
        <v>601</v>
      </c>
      <c r="P956" s="15">
        <v>1</v>
      </c>
      <c r="Q956" s="14"/>
      <c r="R956" s="14"/>
      <c r="S956" s="14"/>
      <c r="T956" s="14"/>
      <c r="U956" s="14"/>
      <c r="V956" s="14"/>
      <c r="W956" s="14"/>
      <c r="X956" s="14"/>
      <c r="Y956" s="14"/>
      <c r="Z956" s="14"/>
      <c r="AA956" s="14"/>
    </row>
    <row r="957" spans="1:27" ht="15.75" hidden="1" customHeight="1" x14ac:dyDescent="0.2">
      <c r="A957" s="7" t="s">
        <v>453</v>
      </c>
      <c r="B957" s="7" t="s">
        <v>431</v>
      </c>
      <c r="C957" s="7" t="s">
        <v>466</v>
      </c>
      <c r="D957" s="8">
        <v>4</v>
      </c>
      <c r="E957" s="9">
        <v>193636</v>
      </c>
      <c r="F957" s="9">
        <v>1056913</v>
      </c>
      <c r="G957" s="9">
        <v>9.5501299999999993</v>
      </c>
      <c r="H957" s="9">
        <v>-83.790599999999998</v>
      </c>
      <c r="I957" s="7">
        <v>2610</v>
      </c>
      <c r="J957" s="7" t="s">
        <v>20</v>
      </c>
      <c r="K957" s="10">
        <v>40358</v>
      </c>
      <c r="L957" s="10">
        <v>40399</v>
      </c>
      <c r="M957" s="11">
        <f t="shared" si="56"/>
        <v>42</v>
      </c>
      <c r="N957" s="11">
        <f t="shared" si="1"/>
        <v>42</v>
      </c>
      <c r="O957" s="8"/>
      <c r="P957" s="8">
        <v>1</v>
      </c>
      <c r="Q957" s="14"/>
      <c r="R957" s="14"/>
      <c r="S957" s="14"/>
      <c r="T957" s="14"/>
      <c r="U957" s="14"/>
      <c r="V957" s="14"/>
      <c r="W957" s="14"/>
      <c r="X957" s="14"/>
      <c r="Y957" s="14"/>
      <c r="Z957" s="14"/>
      <c r="AA957" s="14"/>
    </row>
    <row r="958" spans="1:27" ht="15.75" hidden="1" customHeight="1" x14ac:dyDescent="0.2">
      <c r="A958" s="7" t="s">
        <v>443</v>
      </c>
      <c r="B958" s="7" t="s">
        <v>431</v>
      </c>
      <c r="C958" s="7" t="s">
        <v>466</v>
      </c>
      <c r="D958" s="8">
        <v>4</v>
      </c>
      <c r="E958" s="9">
        <v>193636</v>
      </c>
      <c r="F958" s="9">
        <v>1056913</v>
      </c>
      <c r="G958" s="9">
        <v>9.5501299999999993</v>
      </c>
      <c r="H958" s="9">
        <v>-83.790599999999998</v>
      </c>
      <c r="I958" s="7">
        <v>2610</v>
      </c>
      <c r="J958" s="7" t="s">
        <v>20</v>
      </c>
      <c r="K958" s="10">
        <v>40681</v>
      </c>
      <c r="L958" s="10">
        <v>40715</v>
      </c>
      <c r="M958" s="11">
        <v>18</v>
      </c>
      <c r="N958" s="11">
        <f t="shared" si="1"/>
        <v>35</v>
      </c>
      <c r="O958" s="8"/>
      <c r="P958" s="8">
        <v>1</v>
      </c>
      <c r="Q958" s="14"/>
      <c r="R958" s="14"/>
      <c r="S958" s="14"/>
      <c r="T958" s="14"/>
      <c r="U958" s="14"/>
      <c r="V958" s="14"/>
      <c r="W958" s="14"/>
      <c r="X958" s="14"/>
      <c r="Y958" s="14"/>
      <c r="Z958" s="14"/>
      <c r="AA958" s="14"/>
    </row>
    <row r="959" spans="1:27" ht="15.75" hidden="1" customHeight="1" x14ac:dyDescent="0.2">
      <c r="A959" s="7" t="s">
        <v>193</v>
      </c>
      <c r="B959" s="7" t="s">
        <v>431</v>
      </c>
      <c r="C959" s="7" t="s">
        <v>466</v>
      </c>
      <c r="D959" s="8">
        <v>4</v>
      </c>
      <c r="E959" s="9">
        <v>193587</v>
      </c>
      <c r="F959" s="9">
        <v>1056917</v>
      </c>
      <c r="G959" s="9">
        <v>9.5501670000000001</v>
      </c>
      <c r="H959" s="9">
        <v>-83.791049999999998</v>
      </c>
      <c r="I959" s="7">
        <v>2586</v>
      </c>
      <c r="J959" s="7" t="s">
        <v>20</v>
      </c>
      <c r="K959" s="10">
        <v>41452</v>
      </c>
      <c r="L959" s="10">
        <v>41484</v>
      </c>
      <c r="M959" s="11">
        <v>33</v>
      </c>
      <c r="N959" s="11">
        <f t="shared" si="1"/>
        <v>33</v>
      </c>
      <c r="O959" s="8"/>
      <c r="P959" s="8">
        <v>1</v>
      </c>
      <c r="Q959" s="14"/>
      <c r="R959" s="14"/>
      <c r="S959" s="14"/>
      <c r="T959" s="14"/>
      <c r="U959" s="14"/>
      <c r="V959" s="14"/>
      <c r="W959" s="14"/>
      <c r="X959" s="14"/>
      <c r="Y959" s="14"/>
      <c r="Z959" s="14"/>
      <c r="AA959" s="14"/>
    </row>
    <row r="960" spans="1:27" ht="15.75" hidden="1" customHeight="1" x14ac:dyDescent="0.2">
      <c r="A960" s="7" t="s">
        <v>182</v>
      </c>
      <c r="B960" s="7" t="s">
        <v>431</v>
      </c>
      <c r="C960" s="7" t="s">
        <v>466</v>
      </c>
      <c r="D960" s="8">
        <v>4</v>
      </c>
      <c r="E960" s="9">
        <v>193616</v>
      </c>
      <c r="F960" s="9">
        <v>1056909</v>
      </c>
      <c r="G960" s="9">
        <v>9.5501670000000001</v>
      </c>
      <c r="H960" s="9">
        <v>-83.791049999999998</v>
      </c>
      <c r="I960" s="7">
        <v>2602</v>
      </c>
      <c r="J960" s="7" t="s">
        <v>20</v>
      </c>
      <c r="K960" s="10">
        <v>41813</v>
      </c>
      <c r="L960" s="10">
        <v>41830</v>
      </c>
      <c r="M960" s="11">
        <f t="shared" ref="M960:M961" si="57">IF(ISBLANK(K960),0,IF(ISBLANK(L960),0,L960-K960+1))</f>
        <v>18</v>
      </c>
      <c r="N960" s="11">
        <f t="shared" si="1"/>
        <v>18</v>
      </c>
      <c r="O960" s="8"/>
      <c r="P960" s="8">
        <v>1</v>
      </c>
      <c r="Q960" s="14"/>
      <c r="R960" s="14"/>
      <c r="S960" s="14"/>
      <c r="T960" s="14"/>
      <c r="U960" s="14"/>
      <c r="V960" s="14"/>
      <c r="W960" s="14"/>
      <c r="X960" s="14"/>
      <c r="Y960" s="14"/>
      <c r="Z960" s="14"/>
      <c r="AA960" s="14"/>
    </row>
    <row r="961" spans="1:27" ht="15.75" hidden="1" customHeight="1" x14ac:dyDescent="0.2">
      <c r="A961" s="7" t="s">
        <v>133</v>
      </c>
      <c r="B961" s="7" t="s">
        <v>431</v>
      </c>
      <c r="C961" s="7" t="s">
        <v>466</v>
      </c>
      <c r="D961" s="8">
        <v>4</v>
      </c>
      <c r="E961" s="9">
        <v>193616</v>
      </c>
      <c r="F961" s="9">
        <v>1056909</v>
      </c>
      <c r="G961" s="9">
        <v>9.5501670000000001</v>
      </c>
      <c r="H961" s="9">
        <v>-83.791049999999998</v>
      </c>
      <c r="I961" s="7">
        <v>2602</v>
      </c>
      <c r="J961" s="7" t="s">
        <v>20</v>
      </c>
      <c r="K961" s="10">
        <v>42159</v>
      </c>
      <c r="L961" s="10">
        <v>42178</v>
      </c>
      <c r="M961" s="11">
        <f t="shared" si="57"/>
        <v>20</v>
      </c>
      <c r="N961" s="11">
        <f t="shared" si="1"/>
        <v>20</v>
      </c>
      <c r="O961" s="8"/>
      <c r="P961" s="8">
        <v>1</v>
      </c>
      <c r="Q961" s="14"/>
      <c r="R961" s="14"/>
      <c r="S961" s="14"/>
      <c r="T961" s="14"/>
      <c r="U961" s="14"/>
      <c r="V961" s="14"/>
      <c r="W961" s="14"/>
      <c r="X961" s="14"/>
      <c r="Y961" s="14"/>
      <c r="Z961" s="14"/>
      <c r="AA961" s="14"/>
    </row>
    <row r="962" spans="1:27" ht="15.75" hidden="1" customHeight="1" x14ac:dyDescent="0.2">
      <c r="A962" s="7" t="s">
        <v>134</v>
      </c>
      <c r="B962" s="7" t="s">
        <v>431</v>
      </c>
      <c r="C962" s="7" t="s">
        <v>466</v>
      </c>
      <c r="D962" s="8">
        <v>4</v>
      </c>
      <c r="E962" s="9">
        <v>193616</v>
      </c>
      <c r="F962" s="9">
        <v>1056909</v>
      </c>
      <c r="G962" s="9">
        <v>9.5501670000000001</v>
      </c>
      <c r="H962" s="9">
        <v>-83.791049999999998</v>
      </c>
      <c r="I962" s="7">
        <v>2602</v>
      </c>
      <c r="J962" s="7" t="s">
        <v>20</v>
      </c>
      <c r="K962" s="10">
        <v>42570</v>
      </c>
      <c r="L962" s="10">
        <v>42623</v>
      </c>
      <c r="M962" s="11">
        <v>48</v>
      </c>
      <c r="N962" s="11">
        <f t="shared" si="1"/>
        <v>54</v>
      </c>
      <c r="O962" s="8" t="s">
        <v>597</v>
      </c>
      <c r="P962" s="8">
        <v>1</v>
      </c>
      <c r="Q962" s="14"/>
      <c r="R962" s="14"/>
      <c r="S962" s="14"/>
      <c r="T962" s="14"/>
      <c r="U962" s="14"/>
      <c r="V962" s="14"/>
      <c r="W962" s="14"/>
      <c r="X962" s="14"/>
      <c r="Y962" s="14"/>
      <c r="Z962" s="14"/>
      <c r="AA962" s="14"/>
    </row>
    <row r="963" spans="1:27" ht="15.75" hidden="1" customHeight="1" x14ac:dyDescent="0.2">
      <c r="A963" s="7" t="s">
        <v>186</v>
      </c>
      <c r="B963" s="7" t="s">
        <v>431</v>
      </c>
      <c r="C963" s="7" t="s">
        <v>466</v>
      </c>
      <c r="D963" s="8">
        <v>4</v>
      </c>
      <c r="E963" s="9">
        <v>193616</v>
      </c>
      <c r="F963" s="9">
        <v>1056909</v>
      </c>
      <c r="G963" s="9">
        <v>9.5501670000000001</v>
      </c>
      <c r="H963" s="9">
        <v>-83.791049999999998</v>
      </c>
      <c r="I963" s="7">
        <v>2605</v>
      </c>
      <c r="J963" s="7" t="s">
        <v>20</v>
      </c>
      <c r="K963" s="10">
        <v>42880</v>
      </c>
      <c r="L963" s="10">
        <v>42893</v>
      </c>
      <c r="M963" s="11">
        <f t="shared" ref="M963:M978" si="58">IF(ISBLANK(K963),0,IF(ISBLANK(L963),0,L963-K963+1))</f>
        <v>14</v>
      </c>
      <c r="N963" s="11">
        <f t="shared" si="1"/>
        <v>14</v>
      </c>
      <c r="O963" s="8"/>
      <c r="P963" s="8">
        <v>1</v>
      </c>
      <c r="Q963" s="14"/>
      <c r="R963" s="14"/>
      <c r="S963" s="14"/>
      <c r="T963" s="14"/>
      <c r="U963" s="14"/>
      <c r="V963" s="14"/>
      <c r="W963" s="14"/>
      <c r="X963" s="14"/>
      <c r="Y963" s="14"/>
      <c r="Z963" s="14"/>
      <c r="AA963" s="14"/>
    </row>
    <row r="964" spans="1:27" ht="15.75" hidden="1" customHeight="1" x14ac:dyDescent="0.2">
      <c r="A964" s="7" t="s">
        <v>297</v>
      </c>
      <c r="B964" s="7" t="s">
        <v>431</v>
      </c>
      <c r="C964" s="7" t="s">
        <v>466</v>
      </c>
      <c r="D964" s="8">
        <v>4</v>
      </c>
      <c r="E964" s="9">
        <v>193616</v>
      </c>
      <c r="F964" s="9">
        <v>1056909</v>
      </c>
      <c r="G964" s="9">
        <v>9.5501670000000001</v>
      </c>
      <c r="H964" s="9">
        <v>-83.791049999999998</v>
      </c>
      <c r="I964" s="7">
        <v>2602</v>
      </c>
      <c r="J964" s="7" t="s">
        <v>20</v>
      </c>
      <c r="K964" s="10">
        <v>43276</v>
      </c>
      <c r="L964" s="10">
        <v>43299</v>
      </c>
      <c r="M964" s="11">
        <f t="shared" si="58"/>
        <v>24</v>
      </c>
      <c r="N964" s="11">
        <f t="shared" si="1"/>
        <v>24</v>
      </c>
      <c r="O964" s="8" t="s">
        <v>602</v>
      </c>
      <c r="P964" s="8">
        <v>1</v>
      </c>
      <c r="Q964" s="14"/>
      <c r="R964" s="14"/>
      <c r="S964" s="14"/>
      <c r="T964" s="14"/>
      <c r="U964" s="14"/>
      <c r="V964" s="14"/>
      <c r="W964" s="14"/>
      <c r="X964" s="14"/>
      <c r="Y964" s="14"/>
      <c r="Z964" s="14"/>
      <c r="AA964" s="14"/>
    </row>
    <row r="965" spans="1:27" ht="15.75" hidden="1" customHeight="1" x14ac:dyDescent="0.2">
      <c r="A965" s="20" t="s">
        <v>297</v>
      </c>
      <c r="B965" s="20" t="s">
        <v>431</v>
      </c>
      <c r="C965" s="20" t="s">
        <v>466</v>
      </c>
      <c r="D965" s="8">
        <v>4</v>
      </c>
      <c r="E965" s="22">
        <v>193616</v>
      </c>
      <c r="F965" s="22">
        <v>1056909</v>
      </c>
      <c r="G965" s="22">
        <v>9.5501670000000001</v>
      </c>
      <c r="H965" s="22">
        <v>-83.791049999999998</v>
      </c>
      <c r="I965" s="20">
        <v>2602</v>
      </c>
      <c r="J965" s="20" t="s">
        <v>20</v>
      </c>
      <c r="K965" s="23"/>
      <c r="L965" s="23"/>
      <c r="M965" s="24">
        <f t="shared" si="58"/>
        <v>0</v>
      </c>
      <c r="N965" s="11">
        <f t="shared" si="1"/>
        <v>0</v>
      </c>
      <c r="O965" s="25"/>
      <c r="P965" s="21">
        <v>1</v>
      </c>
      <c r="Q965" s="14"/>
      <c r="R965" s="14"/>
      <c r="S965" s="14"/>
      <c r="T965" s="14"/>
      <c r="U965" s="14"/>
      <c r="V965" s="14"/>
      <c r="W965" s="14"/>
      <c r="X965" s="14"/>
      <c r="Y965" s="14"/>
      <c r="Z965" s="14"/>
      <c r="AA965" s="14"/>
    </row>
    <row r="966" spans="1:27" ht="15.75" hidden="1" customHeight="1" x14ac:dyDescent="0.2">
      <c r="A966" s="14" t="s">
        <v>444</v>
      </c>
      <c r="B966" s="14" t="s">
        <v>431</v>
      </c>
      <c r="C966" s="14" t="s">
        <v>466</v>
      </c>
      <c r="D966" s="8">
        <v>4</v>
      </c>
      <c r="E966" s="16">
        <v>193616</v>
      </c>
      <c r="F966" s="16">
        <v>1056909</v>
      </c>
      <c r="G966" s="16">
        <v>9.5501670000000001</v>
      </c>
      <c r="H966" s="16">
        <v>-83.791049999999998</v>
      </c>
      <c r="I966" s="14">
        <v>2602</v>
      </c>
      <c r="J966" s="14" t="s">
        <v>20</v>
      </c>
      <c r="K966" s="17">
        <v>43649</v>
      </c>
      <c r="L966" s="17">
        <v>43693</v>
      </c>
      <c r="M966" s="18">
        <f t="shared" si="58"/>
        <v>45</v>
      </c>
      <c r="N966" s="11">
        <f t="shared" si="1"/>
        <v>45</v>
      </c>
      <c r="O966" s="15" t="s">
        <v>603</v>
      </c>
      <c r="P966" s="15">
        <v>1</v>
      </c>
      <c r="Q966" s="14"/>
      <c r="R966" s="14"/>
      <c r="S966" s="14"/>
      <c r="T966" s="14"/>
      <c r="U966" s="14"/>
      <c r="V966" s="14"/>
      <c r="W966" s="14"/>
      <c r="X966" s="14"/>
      <c r="Y966" s="14"/>
      <c r="Z966" s="14"/>
      <c r="AA966" s="14"/>
    </row>
    <row r="967" spans="1:27" ht="15.75" hidden="1" customHeight="1" x14ac:dyDescent="0.2">
      <c r="A967" s="7" t="s">
        <v>438</v>
      </c>
      <c r="B967" s="7" t="s">
        <v>431</v>
      </c>
      <c r="C967" s="7" t="s">
        <v>466</v>
      </c>
      <c r="D967" s="8">
        <v>3</v>
      </c>
      <c r="E967" s="9">
        <v>192659</v>
      </c>
      <c r="F967" s="9">
        <v>1056958</v>
      </c>
      <c r="G967" s="9">
        <v>9.5504700000000007</v>
      </c>
      <c r="H967" s="9">
        <v>-83.799499999999995</v>
      </c>
      <c r="I967" s="7">
        <v>2514</v>
      </c>
      <c r="J967" s="7" t="s">
        <v>20</v>
      </c>
      <c r="K967" s="7"/>
      <c r="L967" s="7"/>
      <c r="M967" s="11">
        <f t="shared" si="58"/>
        <v>0</v>
      </c>
      <c r="N967" s="11">
        <f t="shared" si="1"/>
        <v>0</v>
      </c>
      <c r="O967" s="8"/>
      <c r="P967" s="8">
        <v>3</v>
      </c>
      <c r="Q967" s="14"/>
      <c r="R967" s="14"/>
      <c r="S967" s="14"/>
      <c r="T967" s="14"/>
      <c r="U967" s="14"/>
      <c r="V967" s="14"/>
      <c r="W967" s="14"/>
      <c r="X967" s="14"/>
      <c r="Y967" s="14"/>
      <c r="Z967" s="14"/>
      <c r="AA967" s="14"/>
    </row>
    <row r="968" spans="1:27" ht="15.75" hidden="1" customHeight="1" x14ac:dyDescent="0.2">
      <c r="A968" s="7" t="s">
        <v>438</v>
      </c>
      <c r="B968" s="7" t="s">
        <v>431</v>
      </c>
      <c r="C968" s="7" t="s">
        <v>461</v>
      </c>
      <c r="D968" s="8">
        <v>3</v>
      </c>
      <c r="E968" s="9">
        <v>193588</v>
      </c>
      <c r="F968" s="9">
        <v>1057031</v>
      </c>
      <c r="G968" s="9">
        <v>9.5511999999999997</v>
      </c>
      <c r="H968" s="9">
        <v>-83.791049999999998</v>
      </c>
      <c r="I968" s="7">
        <v>2621</v>
      </c>
      <c r="J968" s="7" t="s">
        <v>26</v>
      </c>
      <c r="K968" s="10">
        <v>40761</v>
      </c>
      <c r="L968" s="10">
        <v>40885</v>
      </c>
      <c r="M968" s="11">
        <f t="shared" si="58"/>
        <v>125</v>
      </c>
      <c r="N968" s="11">
        <f t="shared" si="1"/>
        <v>125</v>
      </c>
      <c r="O968" s="8"/>
      <c r="P968" s="8">
        <v>2</v>
      </c>
      <c r="Q968" s="14"/>
      <c r="R968" s="14"/>
      <c r="S968" s="14"/>
      <c r="T968" s="14"/>
      <c r="U968" s="14"/>
      <c r="V968" s="14"/>
      <c r="W968" s="14"/>
      <c r="X968" s="14"/>
      <c r="Y968" s="14"/>
      <c r="Z968" s="14"/>
      <c r="AA968" s="14"/>
    </row>
    <row r="969" spans="1:27" ht="15.75" hidden="1" customHeight="1" x14ac:dyDescent="0.2">
      <c r="A969" s="14" t="s">
        <v>287</v>
      </c>
      <c r="B969" s="14" t="s">
        <v>431</v>
      </c>
      <c r="C969" s="14" t="s">
        <v>466</v>
      </c>
      <c r="D969" s="15">
        <v>3</v>
      </c>
      <c r="E969" s="16">
        <v>193444</v>
      </c>
      <c r="F969" s="16">
        <v>1056986</v>
      </c>
      <c r="G969" s="16">
        <v>9.5507849660000002</v>
      </c>
      <c r="H969" s="16">
        <v>-83.792345999999995</v>
      </c>
      <c r="I969" s="14">
        <v>2563</v>
      </c>
      <c r="J969" s="14" t="s">
        <v>20</v>
      </c>
      <c r="K969" s="17"/>
      <c r="L969" s="17"/>
      <c r="M969" s="18">
        <f t="shared" si="58"/>
        <v>0</v>
      </c>
      <c r="N969" s="11">
        <f t="shared" si="1"/>
        <v>0</v>
      </c>
      <c r="O969" s="15" t="s">
        <v>141</v>
      </c>
      <c r="P969" s="15">
        <v>2</v>
      </c>
      <c r="Q969" s="14"/>
      <c r="R969" s="14"/>
      <c r="S969" s="14"/>
      <c r="T969" s="14"/>
      <c r="U969" s="14"/>
      <c r="V969" s="14"/>
      <c r="W969" s="14"/>
      <c r="X969" s="14"/>
      <c r="Y969" s="14"/>
      <c r="Z969" s="14"/>
      <c r="AA969" s="14"/>
    </row>
    <row r="970" spans="1:27" ht="15.75" hidden="1" customHeight="1" x14ac:dyDescent="0.2">
      <c r="A970" s="7" t="s">
        <v>452</v>
      </c>
      <c r="B970" s="7" t="s">
        <v>431</v>
      </c>
      <c r="C970" s="7" t="s">
        <v>466</v>
      </c>
      <c r="D970" s="8">
        <v>3</v>
      </c>
      <c r="E970" s="9">
        <v>192659</v>
      </c>
      <c r="F970" s="9">
        <v>1056958</v>
      </c>
      <c r="G970" s="9">
        <v>9.5504700000000007</v>
      </c>
      <c r="H970" s="9">
        <v>-83.799499999999995</v>
      </c>
      <c r="I970" s="7">
        <v>2514</v>
      </c>
      <c r="J970" s="7" t="s">
        <v>20</v>
      </c>
      <c r="K970" s="7"/>
      <c r="L970" s="7"/>
      <c r="M970" s="11">
        <f t="shared" si="58"/>
        <v>0</v>
      </c>
      <c r="N970" s="11">
        <f t="shared" si="1"/>
        <v>0</v>
      </c>
      <c r="O970" s="8"/>
      <c r="P970" s="8">
        <v>3</v>
      </c>
      <c r="Q970" s="14"/>
      <c r="R970" s="14"/>
      <c r="S970" s="14"/>
      <c r="T970" s="14"/>
      <c r="U970" s="14"/>
      <c r="V970" s="14"/>
      <c r="W970" s="14"/>
      <c r="X970" s="14"/>
      <c r="Y970" s="14"/>
      <c r="Z970" s="14"/>
      <c r="AA970" s="14"/>
    </row>
    <row r="971" spans="1:27" ht="15.75" hidden="1" customHeight="1" x14ac:dyDescent="0.2">
      <c r="A971" s="7" t="s">
        <v>441</v>
      </c>
      <c r="B971" s="7" t="s">
        <v>431</v>
      </c>
      <c r="C971" s="7" t="s">
        <v>466</v>
      </c>
      <c r="D971" s="8">
        <v>3</v>
      </c>
      <c r="E971" s="9">
        <v>193536</v>
      </c>
      <c r="F971" s="9">
        <v>1056746</v>
      </c>
      <c r="G971" s="9">
        <v>9.5511999999999997</v>
      </c>
      <c r="H971" s="9">
        <v>-83.790599999999998</v>
      </c>
      <c r="I971" s="7">
        <v>2626</v>
      </c>
      <c r="J971" s="7" t="s">
        <v>20</v>
      </c>
      <c r="K971" s="7"/>
      <c r="L971" s="7"/>
      <c r="M971" s="11">
        <f t="shared" si="58"/>
        <v>0</v>
      </c>
      <c r="N971" s="11">
        <f t="shared" si="1"/>
        <v>0</v>
      </c>
      <c r="O971" s="8"/>
      <c r="P971" s="8">
        <v>2</v>
      </c>
      <c r="Q971" s="14"/>
      <c r="R971" s="14"/>
      <c r="S971" s="14"/>
      <c r="T971" s="14"/>
      <c r="U971" s="14"/>
      <c r="V971" s="14"/>
      <c r="W971" s="14"/>
      <c r="X971" s="14"/>
      <c r="Y971" s="14"/>
      <c r="Z971" s="14"/>
      <c r="AA971" s="14"/>
    </row>
    <row r="972" spans="1:27" ht="15.75" hidden="1" customHeight="1" x14ac:dyDescent="0.2">
      <c r="A972" s="7" t="s">
        <v>40</v>
      </c>
      <c r="B972" s="7" t="s">
        <v>431</v>
      </c>
      <c r="C972" s="7" t="s">
        <v>482</v>
      </c>
      <c r="D972" s="8">
        <v>3</v>
      </c>
      <c r="E972" s="9">
        <v>191793</v>
      </c>
      <c r="F972" s="9">
        <v>1057051</v>
      </c>
      <c r="G972" s="9">
        <v>9.5512499999999996</v>
      </c>
      <c r="H972" s="9">
        <v>-83.807383000000002</v>
      </c>
      <c r="I972" s="7">
        <v>2197</v>
      </c>
      <c r="J972" s="7" t="s">
        <v>26</v>
      </c>
      <c r="K972" s="10">
        <v>41310</v>
      </c>
      <c r="L972" s="10">
        <v>41368</v>
      </c>
      <c r="M972" s="11">
        <f t="shared" si="58"/>
        <v>59</v>
      </c>
      <c r="N972" s="11">
        <f t="shared" si="1"/>
        <v>59</v>
      </c>
      <c r="O972" s="8"/>
      <c r="P972" s="8" t="s">
        <v>485</v>
      </c>
      <c r="Q972" s="14"/>
      <c r="R972" s="14"/>
      <c r="S972" s="14"/>
      <c r="T972" s="14"/>
      <c r="U972" s="14"/>
      <c r="V972" s="14"/>
      <c r="W972" s="14"/>
      <c r="X972" s="14"/>
      <c r="Y972" s="14"/>
      <c r="Z972" s="14"/>
      <c r="AA972" s="14"/>
    </row>
    <row r="973" spans="1:27" ht="15.75" hidden="1" customHeight="1" x14ac:dyDescent="0.2">
      <c r="A973" s="7" t="s">
        <v>40</v>
      </c>
      <c r="B973" s="7" t="s">
        <v>431</v>
      </c>
      <c r="C973" s="7" t="s">
        <v>466</v>
      </c>
      <c r="D973" s="8">
        <v>3</v>
      </c>
      <c r="E973" s="9">
        <v>193536</v>
      </c>
      <c r="F973" s="9">
        <v>1056746</v>
      </c>
      <c r="G973" s="9">
        <v>9.5511999999999997</v>
      </c>
      <c r="H973" s="9">
        <v>-83.790599999999998</v>
      </c>
      <c r="I973" s="7">
        <v>2626</v>
      </c>
      <c r="J973" s="7" t="s">
        <v>20</v>
      </c>
      <c r="K973" s="10">
        <v>41379</v>
      </c>
      <c r="L973" s="10">
        <v>41435</v>
      </c>
      <c r="M973" s="11">
        <f t="shared" si="58"/>
        <v>57</v>
      </c>
      <c r="N973" s="11">
        <f t="shared" si="1"/>
        <v>57</v>
      </c>
      <c r="O973" s="8"/>
      <c r="P973" s="8">
        <v>2</v>
      </c>
      <c r="Q973" s="14"/>
      <c r="R973" s="14"/>
      <c r="S973" s="14"/>
      <c r="T973" s="14"/>
      <c r="U973" s="14"/>
      <c r="V973" s="14"/>
      <c r="W973" s="14"/>
      <c r="X973" s="14"/>
      <c r="Y973" s="14"/>
      <c r="Z973" s="14"/>
      <c r="AA973" s="14"/>
    </row>
    <row r="974" spans="1:27" ht="15.75" hidden="1" customHeight="1" x14ac:dyDescent="0.2">
      <c r="A974" s="14" t="s">
        <v>230</v>
      </c>
      <c r="B974" s="14" t="s">
        <v>431</v>
      </c>
      <c r="C974" s="14" t="s">
        <v>466</v>
      </c>
      <c r="D974" s="8">
        <v>3</v>
      </c>
      <c r="E974" s="16">
        <v>193444</v>
      </c>
      <c r="F974" s="16">
        <v>1056986</v>
      </c>
      <c r="G974" s="16">
        <v>9.5507849660000002</v>
      </c>
      <c r="H974" s="16">
        <v>-83.792345999999995</v>
      </c>
      <c r="I974" s="14">
        <v>2563</v>
      </c>
      <c r="J974" s="14" t="s">
        <v>20</v>
      </c>
      <c r="K974" s="17">
        <v>43518</v>
      </c>
      <c r="L974" s="17">
        <v>43538</v>
      </c>
      <c r="M974" s="18">
        <f t="shared" si="58"/>
        <v>21</v>
      </c>
      <c r="N974" s="11">
        <f t="shared" si="1"/>
        <v>21</v>
      </c>
      <c r="O974" s="15" t="s">
        <v>604</v>
      </c>
      <c r="P974" s="15">
        <v>2</v>
      </c>
      <c r="Q974" s="14"/>
      <c r="R974" s="14"/>
      <c r="S974" s="14"/>
      <c r="T974" s="14"/>
      <c r="U974" s="14"/>
      <c r="V974" s="14"/>
      <c r="W974" s="14"/>
      <c r="X974" s="14"/>
      <c r="Y974" s="14"/>
      <c r="Z974" s="14"/>
      <c r="AA974" s="14"/>
    </row>
    <row r="975" spans="1:27" ht="15.75" hidden="1" customHeight="1" x14ac:dyDescent="0.2">
      <c r="A975" s="14" t="s">
        <v>230</v>
      </c>
      <c r="B975" s="14" t="s">
        <v>431</v>
      </c>
      <c r="C975" s="14" t="s">
        <v>466</v>
      </c>
      <c r="D975" s="8">
        <v>3</v>
      </c>
      <c r="E975" s="16">
        <v>193444</v>
      </c>
      <c r="F975" s="16">
        <v>1056986</v>
      </c>
      <c r="G975" s="16">
        <v>9.5507849660000002</v>
      </c>
      <c r="H975" s="16">
        <v>-83.792345999999995</v>
      </c>
      <c r="I975" s="14">
        <v>2563</v>
      </c>
      <c r="J975" s="14" t="s">
        <v>20</v>
      </c>
      <c r="K975" s="17">
        <v>43553</v>
      </c>
      <c r="L975" s="17">
        <v>43566</v>
      </c>
      <c r="M975" s="18">
        <f t="shared" si="58"/>
        <v>14</v>
      </c>
      <c r="N975" s="11">
        <f t="shared" si="1"/>
        <v>14</v>
      </c>
      <c r="O975" s="15" t="s">
        <v>605</v>
      </c>
      <c r="P975" s="15">
        <v>2</v>
      </c>
      <c r="Q975" s="14"/>
      <c r="R975" s="14"/>
      <c r="S975" s="14"/>
      <c r="T975" s="14"/>
      <c r="U975" s="14"/>
      <c r="V975" s="14"/>
      <c r="W975" s="14"/>
      <c r="X975" s="14"/>
      <c r="Y975" s="14"/>
      <c r="Z975" s="14"/>
      <c r="AA975" s="14"/>
    </row>
    <row r="976" spans="1:27" ht="15.75" hidden="1" customHeight="1" x14ac:dyDescent="0.2">
      <c r="A976" s="14" t="s">
        <v>230</v>
      </c>
      <c r="B976" s="14" t="s">
        <v>431</v>
      </c>
      <c r="C976" s="14" t="s">
        <v>466</v>
      </c>
      <c r="D976" s="8">
        <v>3</v>
      </c>
      <c r="E976" s="16">
        <v>193444</v>
      </c>
      <c r="F976" s="16">
        <v>1056986</v>
      </c>
      <c r="G976" s="16">
        <v>9.5507849660000002</v>
      </c>
      <c r="H976" s="16">
        <v>-83.792345999999995</v>
      </c>
      <c r="I976" s="14">
        <v>2563</v>
      </c>
      <c r="J976" s="14" t="s">
        <v>20</v>
      </c>
      <c r="K976" s="17">
        <v>43567</v>
      </c>
      <c r="L976" s="17">
        <v>43608</v>
      </c>
      <c r="M976" s="18">
        <f t="shared" si="58"/>
        <v>42</v>
      </c>
      <c r="N976" s="11">
        <f t="shared" si="1"/>
        <v>42</v>
      </c>
      <c r="O976" s="15" t="s">
        <v>606</v>
      </c>
      <c r="P976" s="15">
        <v>2</v>
      </c>
      <c r="Q976" s="14"/>
      <c r="R976" s="14"/>
      <c r="S976" s="14"/>
      <c r="T976" s="14"/>
      <c r="U976" s="14"/>
      <c r="V976" s="14"/>
      <c r="W976" s="14"/>
      <c r="X976" s="14"/>
      <c r="Y976" s="14"/>
      <c r="Z976" s="14"/>
      <c r="AA976" s="14"/>
    </row>
    <row r="977" spans="1:27" ht="15.75" hidden="1" customHeight="1" x14ac:dyDescent="0.2">
      <c r="A977" s="7" t="s">
        <v>453</v>
      </c>
      <c r="B977" s="7" t="s">
        <v>431</v>
      </c>
      <c r="C977" s="7" t="s">
        <v>466</v>
      </c>
      <c r="D977" s="8">
        <v>3</v>
      </c>
      <c r="E977" s="9">
        <v>192659</v>
      </c>
      <c r="F977" s="9">
        <v>1056958</v>
      </c>
      <c r="G977" s="9">
        <v>9.5504700000000007</v>
      </c>
      <c r="H977" s="9">
        <v>-83.799499999999995</v>
      </c>
      <c r="I977" s="7">
        <v>2514</v>
      </c>
      <c r="J977" s="7" t="s">
        <v>20</v>
      </c>
      <c r="K977" s="10">
        <v>40357</v>
      </c>
      <c r="L977" s="7"/>
      <c r="M977" s="11">
        <f t="shared" si="58"/>
        <v>0</v>
      </c>
      <c r="N977" s="11">
        <f t="shared" si="1"/>
        <v>0</v>
      </c>
      <c r="O977" s="8"/>
      <c r="P977" s="8">
        <v>3</v>
      </c>
      <c r="Q977" s="14"/>
      <c r="R977" s="14"/>
      <c r="S977" s="14"/>
      <c r="T977" s="14"/>
      <c r="U977" s="14"/>
      <c r="V977" s="14"/>
      <c r="W977" s="14"/>
      <c r="X977" s="14"/>
      <c r="Y977" s="14"/>
      <c r="Z977" s="14"/>
      <c r="AA977" s="14"/>
    </row>
    <row r="978" spans="1:27" ht="15.75" hidden="1" customHeight="1" x14ac:dyDescent="0.2">
      <c r="A978" s="7" t="s">
        <v>453</v>
      </c>
      <c r="B978" s="7" t="s">
        <v>431</v>
      </c>
      <c r="C978" s="7" t="s">
        <v>466</v>
      </c>
      <c r="D978" s="8">
        <v>3</v>
      </c>
      <c r="E978" s="9">
        <v>193588</v>
      </c>
      <c r="F978" s="9">
        <v>1057031</v>
      </c>
      <c r="G978" s="9">
        <v>9.5511999999999997</v>
      </c>
      <c r="H978" s="9">
        <v>-83.791049999999998</v>
      </c>
      <c r="I978" s="7">
        <v>2621</v>
      </c>
      <c r="J978" s="7" t="s">
        <v>20</v>
      </c>
      <c r="K978" s="10">
        <v>40365</v>
      </c>
      <c r="L978" s="10">
        <v>40381</v>
      </c>
      <c r="M978" s="11">
        <f t="shared" si="58"/>
        <v>17</v>
      </c>
      <c r="N978" s="11">
        <f t="shared" si="1"/>
        <v>17</v>
      </c>
      <c r="O978" s="8"/>
      <c r="P978" s="8">
        <v>2</v>
      </c>
      <c r="Q978" s="14"/>
      <c r="R978" s="14"/>
      <c r="S978" s="14"/>
      <c r="T978" s="14"/>
      <c r="U978" s="14"/>
      <c r="V978" s="14"/>
      <c r="W978" s="14"/>
      <c r="X978" s="14"/>
      <c r="Y978" s="14"/>
      <c r="Z978" s="14"/>
      <c r="AA978" s="14"/>
    </row>
    <row r="979" spans="1:27" ht="15.75" hidden="1" customHeight="1" x14ac:dyDescent="0.2">
      <c r="A979" s="7" t="s">
        <v>443</v>
      </c>
      <c r="B979" s="7" t="s">
        <v>431</v>
      </c>
      <c r="C979" s="7" t="s">
        <v>466</v>
      </c>
      <c r="D979" s="8">
        <v>3</v>
      </c>
      <c r="E979" s="9">
        <v>192659</v>
      </c>
      <c r="F979" s="9">
        <v>1056958</v>
      </c>
      <c r="G979" s="9">
        <v>9.5504700000000007</v>
      </c>
      <c r="H979" s="9">
        <v>-83.799499999999995</v>
      </c>
      <c r="I979" s="7">
        <v>2514</v>
      </c>
      <c r="J979" s="7" t="s">
        <v>20</v>
      </c>
      <c r="K979" s="10">
        <v>40616</v>
      </c>
      <c r="L979" s="10">
        <v>40722</v>
      </c>
      <c r="M979" s="11">
        <v>0</v>
      </c>
      <c r="N979" s="11">
        <f t="shared" si="1"/>
        <v>107</v>
      </c>
      <c r="O979" s="8" t="s">
        <v>607</v>
      </c>
      <c r="P979" s="8">
        <v>3</v>
      </c>
      <c r="Q979" s="14"/>
      <c r="R979" s="14"/>
      <c r="S979" s="14"/>
      <c r="T979" s="14"/>
      <c r="U979" s="14"/>
      <c r="V979" s="14"/>
      <c r="W979" s="14"/>
      <c r="X979" s="14"/>
      <c r="Y979" s="14"/>
      <c r="Z979" s="14"/>
      <c r="AA979" s="14"/>
    </row>
    <row r="980" spans="1:27" ht="15.75" hidden="1" customHeight="1" x14ac:dyDescent="0.2">
      <c r="A980" s="7" t="s">
        <v>297</v>
      </c>
      <c r="B980" s="7" t="s">
        <v>431</v>
      </c>
      <c r="C980" s="7" t="s">
        <v>608</v>
      </c>
      <c r="D980" s="8">
        <v>3</v>
      </c>
      <c r="E980" s="9">
        <v>193444</v>
      </c>
      <c r="F980" s="9">
        <v>1056986</v>
      </c>
      <c r="G980" s="9">
        <v>9.5507849660000002</v>
      </c>
      <c r="H980" s="9">
        <v>-83.792345999999995</v>
      </c>
      <c r="I980" s="7">
        <v>2563</v>
      </c>
      <c r="J980" s="7"/>
      <c r="K980" s="10">
        <v>43279</v>
      </c>
      <c r="L980" s="10">
        <v>43301</v>
      </c>
      <c r="M980" s="11">
        <f t="shared" ref="M980:M985" si="59">IF(ISBLANK(K980),0,IF(ISBLANK(L980),0,L980-K980+1))</f>
        <v>23</v>
      </c>
      <c r="N980" s="11">
        <f t="shared" si="1"/>
        <v>23</v>
      </c>
      <c r="O980" s="8"/>
      <c r="P980" s="8">
        <v>2</v>
      </c>
      <c r="Q980" s="14"/>
      <c r="R980" s="14"/>
      <c r="S980" s="14"/>
      <c r="T980" s="14"/>
      <c r="U980" s="14"/>
      <c r="V980" s="14"/>
      <c r="W980" s="14"/>
      <c r="X980" s="14"/>
      <c r="Y980" s="14"/>
      <c r="Z980" s="14"/>
      <c r="AA980" s="14"/>
    </row>
    <row r="981" spans="1:27" ht="15.75" hidden="1" customHeight="1" x14ac:dyDescent="0.2">
      <c r="A981" s="20" t="s">
        <v>297</v>
      </c>
      <c r="B981" s="20" t="s">
        <v>431</v>
      </c>
      <c r="C981" s="20" t="s">
        <v>466</v>
      </c>
      <c r="D981" s="8">
        <v>3</v>
      </c>
      <c r="E981" s="22">
        <v>193444</v>
      </c>
      <c r="F981" s="22">
        <v>1056986</v>
      </c>
      <c r="G981" s="22">
        <v>9.5507849660000002</v>
      </c>
      <c r="H981" s="22">
        <v>-83.792345999999995</v>
      </c>
      <c r="I981" s="20">
        <v>2563</v>
      </c>
      <c r="J981" s="20" t="s">
        <v>20</v>
      </c>
      <c r="K981" s="23"/>
      <c r="L981" s="23"/>
      <c r="M981" s="24">
        <f t="shared" si="59"/>
        <v>0</v>
      </c>
      <c r="N981" s="11">
        <f t="shared" si="1"/>
        <v>0</v>
      </c>
      <c r="O981" s="25"/>
      <c r="P981" s="21">
        <v>2</v>
      </c>
      <c r="Q981" s="14"/>
      <c r="R981" s="14"/>
      <c r="S981" s="14"/>
      <c r="T981" s="14"/>
      <c r="U981" s="14"/>
      <c r="V981" s="14"/>
      <c r="W981" s="14"/>
      <c r="X981" s="14"/>
      <c r="Y981" s="14"/>
      <c r="Z981" s="14"/>
      <c r="AA981" s="14"/>
    </row>
    <row r="982" spans="1:27" ht="15.75" hidden="1" customHeight="1" x14ac:dyDescent="0.2">
      <c r="A982" s="14" t="s">
        <v>444</v>
      </c>
      <c r="B982" s="14" t="s">
        <v>431</v>
      </c>
      <c r="C982" s="14" t="s">
        <v>466</v>
      </c>
      <c r="D982" s="8">
        <v>3</v>
      </c>
      <c r="E982" s="16">
        <v>193444</v>
      </c>
      <c r="F982" s="16">
        <v>1056986</v>
      </c>
      <c r="G982" s="16">
        <v>9.5507849660000002</v>
      </c>
      <c r="H982" s="16">
        <v>-83.792345999999995</v>
      </c>
      <c r="I982" s="14">
        <v>2563</v>
      </c>
      <c r="J982" s="14" t="s">
        <v>20</v>
      </c>
      <c r="K982" s="17">
        <v>43689</v>
      </c>
      <c r="L982" s="17">
        <v>43693</v>
      </c>
      <c r="M982" s="18">
        <f t="shared" si="59"/>
        <v>5</v>
      </c>
      <c r="N982" s="11">
        <f t="shared" si="1"/>
        <v>5</v>
      </c>
      <c r="O982" s="15" t="s">
        <v>609</v>
      </c>
      <c r="P982" s="15">
        <v>2</v>
      </c>
      <c r="Q982" s="14"/>
      <c r="R982" s="14"/>
      <c r="S982" s="14"/>
      <c r="T982" s="14"/>
      <c r="U982" s="14"/>
      <c r="V982" s="14"/>
      <c r="W982" s="14"/>
      <c r="X982" s="14"/>
      <c r="Y982" s="14"/>
      <c r="Z982" s="14"/>
      <c r="AA982" s="14"/>
    </row>
    <row r="983" spans="1:27" ht="15.75" hidden="1" customHeight="1" x14ac:dyDescent="0.2">
      <c r="A983" s="7" t="s">
        <v>16</v>
      </c>
      <c r="B983" s="7" t="s">
        <v>431</v>
      </c>
      <c r="C983" s="7" t="s">
        <v>466</v>
      </c>
      <c r="D983" s="8">
        <v>2</v>
      </c>
      <c r="E983" s="9">
        <v>192848</v>
      </c>
      <c r="F983" s="9">
        <v>1055932</v>
      </c>
      <c r="G983" s="9">
        <v>9.5514829999999993</v>
      </c>
      <c r="H983" s="9">
        <v>-83.792833000000002</v>
      </c>
      <c r="I983" s="7">
        <v>2594</v>
      </c>
      <c r="J983" s="7" t="s">
        <v>20</v>
      </c>
      <c r="K983" s="10">
        <v>41492</v>
      </c>
      <c r="L983" s="10">
        <v>41634</v>
      </c>
      <c r="M983" s="11">
        <f t="shared" si="59"/>
        <v>143</v>
      </c>
      <c r="N983" s="11">
        <f t="shared" si="1"/>
        <v>143</v>
      </c>
      <c r="O983" s="8"/>
      <c r="P983" s="8">
        <v>40</v>
      </c>
      <c r="Q983" s="14"/>
      <c r="R983" s="14"/>
      <c r="S983" s="14"/>
      <c r="T983" s="14"/>
      <c r="U983" s="14"/>
      <c r="V983" s="14"/>
      <c r="W983" s="14"/>
      <c r="X983" s="14"/>
      <c r="Y983" s="14"/>
      <c r="Z983" s="14"/>
      <c r="AA983" s="14"/>
    </row>
    <row r="984" spans="1:27" ht="15.75" hidden="1" customHeight="1" x14ac:dyDescent="0.2">
      <c r="A984" s="7" t="s">
        <v>36</v>
      </c>
      <c r="B984" s="7" t="s">
        <v>431</v>
      </c>
      <c r="C984" s="7" t="s">
        <v>466</v>
      </c>
      <c r="D984" s="8">
        <v>2</v>
      </c>
      <c r="E984" s="9">
        <v>193405</v>
      </c>
      <c r="F984" s="9">
        <v>1057059</v>
      </c>
      <c r="G984" s="9">
        <v>9.5514829999999993</v>
      </c>
      <c r="H984" s="9">
        <v>-83.792833000000002</v>
      </c>
      <c r="I984" s="7">
        <v>2595</v>
      </c>
      <c r="J984" s="7" t="s">
        <v>20</v>
      </c>
      <c r="K984" s="10">
        <v>41850</v>
      </c>
      <c r="L984" s="10">
        <v>41977</v>
      </c>
      <c r="M984" s="11">
        <f t="shared" si="59"/>
        <v>128</v>
      </c>
      <c r="N984" s="11">
        <f t="shared" si="1"/>
        <v>128</v>
      </c>
      <c r="O984" s="8"/>
      <c r="P984" s="8">
        <v>40</v>
      </c>
      <c r="Q984" s="14"/>
      <c r="R984" s="14"/>
      <c r="S984" s="14"/>
      <c r="T984" s="14"/>
      <c r="U984" s="14"/>
      <c r="V984" s="14"/>
      <c r="W984" s="14"/>
      <c r="X984" s="14"/>
      <c r="Y984" s="14"/>
      <c r="Z984" s="14"/>
      <c r="AA984" s="14"/>
    </row>
    <row r="985" spans="1:27" ht="15.75" hidden="1" customHeight="1" x14ac:dyDescent="0.2">
      <c r="A985" s="7" t="s">
        <v>165</v>
      </c>
      <c r="B985" s="7" t="s">
        <v>431</v>
      </c>
      <c r="C985" s="7" t="s">
        <v>466</v>
      </c>
      <c r="D985" s="8">
        <v>2</v>
      </c>
      <c r="E985" s="9">
        <v>193405</v>
      </c>
      <c r="F985" s="9">
        <v>1057059</v>
      </c>
      <c r="G985" s="9">
        <v>9.5514829999999993</v>
      </c>
      <c r="H985" s="9">
        <v>-83.792833000000002</v>
      </c>
      <c r="I985" s="7">
        <v>2595</v>
      </c>
      <c r="J985" s="7" t="s">
        <v>20</v>
      </c>
      <c r="K985" s="10">
        <v>42625</v>
      </c>
      <c r="L985" s="10">
        <v>42749</v>
      </c>
      <c r="M985" s="11">
        <f t="shared" si="59"/>
        <v>125</v>
      </c>
      <c r="N985" s="11">
        <f t="shared" si="1"/>
        <v>125</v>
      </c>
      <c r="O985" s="8" t="s">
        <v>610</v>
      </c>
      <c r="P985" s="8">
        <v>40</v>
      </c>
      <c r="Q985" s="14"/>
      <c r="R985" s="14"/>
      <c r="S985" s="14"/>
      <c r="T985" s="14"/>
      <c r="U985" s="14"/>
      <c r="V985" s="14"/>
      <c r="W985" s="14"/>
      <c r="X985" s="14"/>
      <c r="Y985" s="14"/>
      <c r="Z985" s="14"/>
      <c r="AA985" s="14"/>
    </row>
    <row r="986" spans="1:27" ht="15.75" hidden="1" customHeight="1" x14ac:dyDescent="0.2">
      <c r="A986" s="7" t="s">
        <v>128</v>
      </c>
      <c r="B986" s="7" t="s">
        <v>431</v>
      </c>
      <c r="C986" s="7" t="s">
        <v>466</v>
      </c>
      <c r="D986" s="8">
        <v>2</v>
      </c>
      <c r="E986" s="9">
        <v>193405</v>
      </c>
      <c r="F986" s="9">
        <v>1057059</v>
      </c>
      <c r="G986" s="9">
        <v>9.5514829999999993</v>
      </c>
      <c r="H986" s="9">
        <v>-83.792833000000002</v>
      </c>
      <c r="I986" s="7">
        <v>2595</v>
      </c>
      <c r="J986" s="7" t="s">
        <v>20</v>
      </c>
      <c r="K986" s="10">
        <v>42894</v>
      </c>
      <c r="L986" s="10">
        <v>43101</v>
      </c>
      <c r="M986" s="11">
        <v>133</v>
      </c>
      <c r="N986" s="11">
        <f t="shared" si="1"/>
        <v>208</v>
      </c>
      <c r="O986" s="8"/>
      <c r="P986" s="8">
        <v>40</v>
      </c>
      <c r="Q986" s="14"/>
      <c r="R986" s="14"/>
      <c r="S986" s="14"/>
      <c r="T986" s="14"/>
      <c r="U986" s="14"/>
      <c r="V986" s="14"/>
      <c r="W986" s="14"/>
      <c r="X986" s="14"/>
      <c r="Y986" s="14"/>
      <c r="Z986" s="14"/>
      <c r="AA986" s="14"/>
    </row>
    <row r="987" spans="1:27" ht="15.75" hidden="1" customHeight="1" x14ac:dyDescent="0.2">
      <c r="A987" s="14" t="s">
        <v>287</v>
      </c>
      <c r="B987" s="14" t="s">
        <v>431</v>
      </c>
      <c r="C987" s="14" t="s">
        <v>466</v>
      </c>
      <c r="D987" s="8">
        <v>2</v>
      </c>
      <c r="E987" s="16">
        <v>193405</v>
      </c>
      <c r="F987" s="16">
        <v>1057059</v>
      </c>
      <c r="G987" s="16">
        <v>9.5514829999999993</v>
      </c>
      <c r="H987" s="16">
        <v>-83.792833000000002</v>
      </c>
      <c r="I987" s="14">
        <v>2595</v>
      </c>
      <c r="J987" s="14" t="s">
        <v>20</v>
      </c>
      <c r="K987" s="17">
        <v>43301</v>
      </c>
      <c r="L987" s="17">
        <v>43452</v>
      </c>
      <c r="M987" s="18">
        <f t="shared" ref="M987:M992" si="60">IF(ISBLANK(K987),0,IF(ISBLANK(L987),0,L987-K987+1))</f>
        <v>152</v>
      </c>
      <c r="N987" s="11">
        <f t="shared" si="1"/>
        <v>152</v>
      </c>
      <c r="O987" s="15" t="s">
        <v>611</v>
      </c>
      <c r="P987" s="15">
        <v>40</v>
      </c>
      <c r="Q987" s="14"/>
      <c r="R987" s="14"/>
      <c r="S987" s="14"/>
      <c r="T987" s="14"/>
      <c r="U987" s="14"/>
      <c r="V987" s="14"/>
      <c r="W987" s="14"/>
      <c r="X987" s="14"/>
      <c r="Y987" s="14"/>
      <c r="Z987" s="14"/>
      <c r="AA987" s="14"/>
    </row>
    <row r="988" spans="1:27" ht="15.75" hidden="1" customHeight="1" x14ac:dyDescent="0.2">
      <c r="A988" s="7" t="s">
        <v>40</v>
      </c>
      <c r="B988" s="7" t="s">
        <v>431</v>
      </c>
      <c r="C988" s="7" t="s">
        <v>466</v>
      </c>
      <c r="D988" s="8">
        <v>2</v>
      </c>
      <c r="E988" s="9">
        <v>193405</v>
      </c>
      <c r="F988" s="9">
        <v>1057059</v>
      </c>
      <c r="G988" s="9">
        <v>9.5514829999999993</v>
      </c>
      <c r="H988" s="9">
        <v>-83.792833000000002</v>
      </c>
      <c r="I988" s="7">
        <v>2595</v>
      </c>
      <c r="J988" s="7" t="s">
        <v>20</v>
      </c>
      <c r="K988" s="10">
        <v>41348</v>
      </c>
      <c r="L988" s="10">
        <v>41446</v>
      </c>
      <c r="M988" s="11">
        <f t="shared" si="60"/>
        <v>99</v>
      </c>
      <c r="N988" s="11">
        <f t="shared" si="1"/>
        <v>99</v>
      </c>
      <c r="O988" s="8"/>
      <c r="P988" s="8">
        <v>40</v>
      </c>
      <c r="Q988" s="14"/>
      <c r="R988" s="14"/>
      <c r="S988" s="14"/>
      <c r="T988" s="14"/>
      <c r="U988" s="14"/>
      <c r="V988" s="14"/>
      <c r="W988" s="14"/>
      <c r="X988" s="14"/>
      <c r="Y988" s="14"/>
      <c r="Z988" s="14"/>
      <c r="AA988" s="14"/>
    </row>
    <row r="989" spans="1:27" ht="15.75" hidden="1" customHeight="1" x14ac:dyDescent="0.2">
      <c r="A989" s="7" t="s">
        <v>42</v>
      </c>
      <c r="B989" s="7" t="s">
        <v>431</v>
      </c>
      <c r="C989" s="7" t="s">
        <v>466</v>
      </c>
      <c r="D989" s="8">
        <v>2</v>
      </c>
      <c r="E989" s="9">
        <v>193388</v>
      </c>
      <c r="F989" s="9">
        <v>1057064</v>
      </c>
      <c r="G989" s="9">
        <v>9.5514829999999993</v>
      </c>
      <c r="H989" s="9">
        <v>-83.792833000000002</v>
      </c>
      <c r="I989" s="7">
        <v>2594</v>
      </c>
      <c r="J989" s="7" t="s">
        <v>20</v>
      </c>
      <c r="K989" s="10">
        <v>41507</v>
      </c>
      <c r="L989" s="10">
        <v>41507</v>
      </c>
      <c r="M989" s="11">
        <f t="shared" si="60"/>
        <v>1</v>
      </c>
      <c r="N989" s="11">
        <f t="shared" si="1"/>
        <v>1</v>
      </c>
      <c r="O989" s="8"/>
      <c r="P989" s="8">
        <v>40</v>
      </c>
      <c r="Q989" s="14"/>
      <c r="R989" s="14"/>
      <c r="S989" s="14"/>
      <c r="T989" s="14"/>
      <c r="U989" s="14"/>
      <c r="V989" s="14"/>
      <c r="W989" s="14"/>
      <c r="X989" s="14"/>
      <c r="Y989" s="14"/>
      <c r="Z989" s="14"/>
      <c r="AA989" s="14"/>
    </row>
    <row r="990" spans="1:27" ht="15.75" hidden="1" customHeight="1" x14ac:dyDescent="0.2">
      <c r="A990" s="7" t="s">
        <v>47</v>
      </c>
      <c r="B990" s="7" t="s">
        <v>431</v>
      </c>
      <c r="C990" s="7" t="s">
        <v>466</v>
      </c>
      <c r="D990" s="8">
        <v>2</v>
      </c>
      <c r="E990" s="9">
        <v>193405</v>
      </c>
      <c r="F990" s="9">
        <v>1057059</v>
      </c>
      <c r="G990" s="9">
        <v>9.5514829999999993</v>
      </c>
      <c r="H990" s="9">
        <v>-83.792833000000002</v>
      </c>
      <c r="I990" s="7">
        <v>2595</v>
      </c>
      <c r="J990" s="7" t="s">
        <v>20</v>
      </c>
      <c r="K990" s="10">
        <v>42095</v>
      </c>
      <c r="L990" s="10">
        <v>42154</v>
      </c>
      <c r="M990" s="11">
        <f t="shared" si="60"/>
        <v>60</v>
      </c>
      <c r="N990" s="11">
        <f t="shared" si="1"/>
        <v>60</v>
      </c>
      <c r="O990" s="8"/>
      <c r="P990" s="8">
        <v>40</v>
      </c>
      <c r="Q990" s="14"/>
      <c r="R990" s="14"/>
      <c r="S990" s="14"/>
      <c r="T990" s="14"/>
      <c r="U990" s="14"/>
      <c r="V990" s="14"/>
      <c r="W990" s="14"/>
      <c r="X990" s="14"/>
      <c r="Y990" s="14"/>
      <c r="Z990" s="14"/>
      <c r="AA990" s="14"/>
    </row>
    <row r="991" spans="1:27" ht="15.75" hidden="1" customHeight="1" x14ac:dyDescent="0.2">
      <c r="A991" s="7" t="s">
        <v>130</v>
      </c>
      <c r="B991" s="7" t="s">
        <v>431</v>
      </c>
      <c r="C991" s="7" t="s">
        <v>466</v>
      </c>
      <c r="D991" s="8">
        <v>2</v>
      </c>
      <c r="E991" s="9">
        <v>193405</v>
      </c>
      <c r="F991" s="9">
        <v>1057059</v>
      </c>
      <c r="G991" s="9">
        <v>9.5514829999999993</v>
      </c>
      <c r="H991" s="9">
        <v>-83.792833000000002</v>
      </c>
      <c r="I991" s="7">
        <v>2595</v>
      </c>
      <c r="J991" s="7" t="s">
        <v>20</v>
      </c>
      <c r="K991" s="10">
        <v>42353</v>
      </c>
      <c r="L991" s="10">
        <v>42454</v>
      </c>
      <c r="M991" s="11">
        <f t="shared" si="60"/>
        <v>102</v>
      </c>
      <c r="N991" s="11">
        <f t="shared" si="1"/>
        <v>102</v>
      </c>
      <c r="O991" s="8"/>
      <c r="P991" s="8">
        <v>40</v>
      </c>
      <c r="Q991" s="14"/>
      <c r="R991" s="14"/>
      <c r="S991" s="14"/>
      <c r="T991" s="14"/>
      <c r="U991" s="14"/>
      <c r="V991" s="14"/>
      <c r="W991" s="14"/>
      <c r="X991" s="14"/>
      <c r="Y991" s="14"/>
      <c r="Z991" s="14"/>
      <c r="AA991" s="14"/>
    </row>
    <row r="992" spans="1:27" ht="15.75" hidden="1" customHeight="1" x14ac:dyDescent="0.2">
      <c r="A992" s="7" t="s">
        <v>131</v>
      </c>
      <c r="B992" s="7" t="s">
        <v>431</v>
      </c>
      <c r="C992" s="7" t="s">
        <v>466</v>
      </c>
      <c r="D992" s="8">
        <v>2</v>
      </c>
      <c r="E992" s="9">
        <v>193405</v>
      </c>
      <c r="F992" s="9">
        <v>1057059</v>
      </c>
      <c r="G992" s="9">
        <v>9.5514829999999993</v>
      </c>
      <c r="H992" s="9">
        <v>-83.792833000000002</v>
      </c>
      <c r="I992" s="7">
        <v>2595</v>
      </c>
      <c r="J992" s="7" t="s">
        <v>20</v>
      </c>
      <c r="K992" s="10">
        <v>42750</v>
      </c>
      <c r="L992" s="10">
        <v>42861</v>
      </c>
      <c r="M992" s="11">
        <f t="shared" si="60"/>
        <v>112</v>
      </c>
      <c r="N992" s="11">
        <f t="shared" si="1"/>
        <v>112</v>
      </c>
      <c r="O992" s="8" t="s">
        <v>612</v>
      </c>
      <c r="P992" s="8">
        <v>40</v>
      </c>
      <c r="Q992" s="14"/>
      <c r="R992" s="14"/>
      <c r="S992" s="14"/>
      <c r="T992" s="14"/>
      <c r="U992" s="14"/>
      <c r="V992" s="14"/>
      <c r="W992" s="14"/>
      <c r="X992" s="14"/>
      <c r="Y992" s="14"/>
      <c r="Z992" s="14"/>
      <c r="AA992" s="14"/>
    </row>
    <row r="993" spans="1:27" ht="15.75" hidden="1" customHeight="1" x14ac:dyDescent="0.2">
      <c r="A993" s="7" t="s">
        <v>132</v>
      </c>
      <c r="B993" s="7" t="s">
        <v>431</v>
      </c>
      <c r="C993" s="7" t="s">
        <v>466</v>
      </c>
      <c r="D993" s="8">
        <v>2</v>
      </c>
      <c r="E993" s="9">
        <v>193405</v>
      </c>
      <c r="F993" s="9">
        <v>1057059</v>
      </c>
      <c r="G993" s="9">
        <v>9.5514829999999993</v>
      </c>
      <c r="H993" s="9">
        <v>-83.792833000000002</v>
      </c>
      <c r="I993" s="7">
        <v>2595</v>
      </c>
      <c r="J993" s="7" t="s">
        <v>20</v>
      </c>
      <c r="K993" s="10">
        <v>43102</v>
      </c>
      <c r="L993" s="10">
        <v>43276</v>
      </c>
      <c r="M993" s="11">
        <v>125</v>
      </c>
      <c r="N993" s="11">
        <f t="shared" si="1"/>
        <v>175</v>
      </c>
      <c r="O993" s="8"/>
      <c r="P993" s="8">
        <v>40</v>
      </c>
      <c r="Q993" s="14"/>
      <c r="R993" s="14"/>
      <c r="S993" s="14"/>
      <c r="T993" s="14"/>
      <c r="U993" s="14"/>
      <c r="V993" s="14"/>
      <c r="W993" s="14"/>
      <c r="X993" s="14"/>
      <c r="Y993" s="14"/>
      <c r="Z993" s="14"/>
      <c r="AA993" s="14"/>
    </row>
    <row r="994" spans="1:27" ht="15.75" hidden="1" customHeight="1" x14ac:dyDescent="0.2">
      <c r="A994" s="14" t="s">
        <v>230</v>
      </c>
      <c r="B994" s="14" t="s">
        <v>431</v>
      </c>
      <c r="C994" s="14" t="s">
        <v>466</v>
      </c>
      <c r="D994" s="8">
        <v>2</v>
      </c>
      <c r="E994" s="16">
        <v>193405</v>
      </c>
      <c r="F994" s="16">
        <v>1057059</v>
      </c>
      <c r="G994" s="16">
        <v>9.5514829999999993</v>
      </c>
      <c r="H994" s="16">
        <v>-83.792833000000002</v>
      </c>
      <c r="I994" s="14">
        <v>2595</v>
      </c>
      <c r="J994" s="14" t="s">
        <v>20</v>
      </c>
      <c r="K994" s="17">
        <v>43538</v>
      </c>
      <c r="L994" s="17">
        <v>43546</v>
      </c>
      <c r="M994" s="18">
        <f t="shared" ref="M994:M1004" si="61">IF(ISBLANK(K994),0,IF(ISBLANK(L994),0,L994-K994+1))</f>
        <v>9</v>
      </c>
      <c r="N994" s="11">
        <f t="shared" si="1"/>
        <v>9</v>
      </c>
      <c r="O994" s="15" t="s">
        <v>613</v>
      </c>
      <c r="P994" s="15">
        <v>40</v>
      </c>
      <c r="Q994" s="14"/>
      <c r="R994" s="14"/>
      <c r="S994" s="14"/>
      <c r="T994" s="14"/>
      <c r="U994" s="14"/>
      <c r="V994" s="14"/>
      <c r="W994" s="14"/>
      <c r="X994" s="14"/>
      <c r="Y994" s="14"/>
      <c r="Z994" s="14"/>
      <c r="AA994" s="14"/>
    </row>
    <row r="995" spans="1:27" ht="15.75" hidden="1" customHeight="1" x14ac:dyDescent="0.2">
      <c r="A995" s="14" t="s">
        <v>230</v>
      </c>
      <c r="B995" s="14" t="s">
        <v>431</v>
      </c>
      <c r="C995" s="14" t="s">
        <v>466</v>
      </c>
      <c r="D995" s="8">
        <v>2</v>
      </c>
      <c r="E995" s="16">
        <v>193405</v>
      </c>
      <c r="F995" s="16">
        <v>1057059</v>
      </c>
      <c r="G995" s="16">
        <v>9.5514829999999993</v>
      </c>
      <c r="H995" s="16">
        <v>-83.792833000000002</v>
      </c>
      <c r="I995" s="14">
        <v>2595</v>
      </c>
      <c r="J995" s="14" t="s">
        <v>20</v>
      </c>
      <c r="K995" s="17">
        <v>43553</v>
      </c>
      <c r="L995" s="17">
        <v>43566</v>
      </c>
      <c r="M995" s="18">
        <f t="shared" si="61"/>
        <v>14</v>
      </c>
      <c r="N995" s="11">
        <f t="shared" si="1"/>
        <v>14</v>
      </c>
      <c r="O995" s="15" t="s">
        <v>614</v>
      </c>
      <c r="P995" s="15">
        <v>40</v>
      </c>
      <c r="Q995" s="14"/>
      <c r="R995" s="14"/>
      <c r="S995" s="14"/>
      <c r="T995" s="14"/>
      <c r="U995" s="14"/>
      <c r="V995" s="14"/>
      <c r="W995" s="14"/>
      <c r="X995" s="14"/>
      <c r="Y995" s="14"/>
      <c r="Z995" s="14"/>
      <c r="AA995" s="14"/>
    </row>
    <row r="996" spans="1:27" ht="15.75" hidden="1" customHeight="1" x14ac:dyDescent="0.2">
      <c r="A996" s="7" t="s">
        <v>193</v>
      </c>
      <c r="B996" s="7" t="s">
        <v>431</v>
      </c>
      <c r="C996" s="7" t="s">
        <v>466</v>
      </c>
      <c r="D996" s="8">
        <v>2</v>
      </c>
      <c r="E996" s="9">
        <v>193405</v>
      </c>
      <c r="F996" s="9">
        <v>1057059</v>
      </c>
      <c r="G996" s="9">
        <v>9.5514829999999993</v>
      </c>
      <c r="H996" s="9">
        <v>-83.792833000000002</v>
      </c>
      <c r="I996" s="7">
        <v>2595</v>
      </c>
      <c r="J996" s="7" t="s">
        <v>20</v>
      </c>
      <c r="K996" s="10">
        <v>41457</v>
      </c>
      <c r="L996" s="10">
        <v>41486</v>
      </c>
      <c r="M996" s="11">
        <f t="shared" si="61"/>
        <v>30</v>
      </c>
      <c r="N996" s="11">
        <f t="shared" si="1"/>
        <v>30</v>
      </c>
      <c r="O996" s="8"/>
      <c r="P996" s="8">
        <v>40</v>
      </c>
      <c r="Q996" s="14"/>
      <c r="R996" s="14"/>
      <c r="S996" s="14"/>
      <c r="T996" s="14"/>
      <c r="U996" s="14"/>
      <c r="V996" s="14"/>
      <c r="W996" s="14"/>
      <c r="X996" s="14"/>
      <c r="Y996" s="14"/>
      <c r="Z996" s="14"/>
      <c r="AA996" s="14"/>
    </row>
    <row r="997" spans="1:27" ht="15.75" hidden="1" customHeight="1" x14ac:dyDescent="0.2">
      <c r="A997" s="7" t="s">
        <v>182</v>
      </c>
      <c r="B997" s="7" t="s">
        <v>431</v>
      </c>
      <c r="C997" s="7" t="s">
        <v>466</v>
      </c>
      <c r="D997" s="8">
        <v>2</v>
      </c>
      <c r="E997" s="9">
        <v>193388</v>
      </c>
      <c r="F997" s="9">
        <v>1057064</v>
      </c>
      <c r="G997" s="9">
        <v>9.5514829999999993</v>
      </c>
      <c r="H997" s="9">
        <v>-83.792833000000002</v>
      </c>
      <c r="I997" s="7">
        <v>2594</v>
      </c>
      <c r="J997" s="7" t="s">
        <v>20</v>
      </c>
      <c r="K997" s="10">
        <v>41808</v>
      </c>
      <c r="L997" s="10">
        <v>41847</v>
      </c>
      <c r="M997" s="11">
        <f t="shared" si="61"/>
        <v>40</v>
      </c>
      <c r="N997" s="11">
        <f t="shared" si="1"/>
        <v>40</v>
      </c>
      <c r="O997" s="8"/>
      <c r="P997" s="8">
        <v>40</v>
      </c>
      <c r="Q997" s="14"/>
      <c r="R997" s="14"/>
      <c r="S997" s="14"/>
      <c r="T997" s="14"/>
      <c r="U997" s="14"/>
      <c r="V997" s="14"/>
      <c r="W997" s="14"/>
      <c r="X997" s="14"/>
      <c r="Y997" s="14"/>
      <c r="Z997" s="14"/>
      <c r="AA997" s="14"/>
    </row>
    <row r="998" spans="1:27" ht="15.75" hidden="1" customHeight="1" x14ac:dyDescent="0.2">
      <c r="A998" s="7" t="s">
        <v>134</v>
      </c>
      <c r="B998" s="7" t="s">
        <v>431</v>
      </c>
      <c r="C998" s="7" t="s">
        <v>466</v>
      </c>
      <c r="D998" s="8">
        <v>2</v>
      </c>
      <c r="E998" s="9">
        <v>193405</v>
      </c>
      <c r="F998" s="9">
        <v>1057059</v>
      </c>
      <c r="G998" s="9">
        <v>9.5514829999999993</v>
      </c>
      <c r="H998" s="9">
        <v>-83.792833000000002</v>
      </c>
      <c r="I998" s="7">
        <v>2595</v>
      </c>
      <c r="J998" s="7" t="s">
        <v>20</v>
      </c>
      <c r="K998" s="10">
        <v>42570</v>
      </c>
      <c r="L998" s="10">
        <v>42623</v>
      </c>
      <c r="M998" s="11">
        <f t="shared" si="61"/>
        <v>54</v>
      </c>
      <c r="N998" s="11">
        <f t="shared" si="1"/>
        <v>54</v>
      </c>
      <c r="O998" s="8"/>
      <c r="P998" s="8">
        <v>40</v>
      </c>
      <c r="Q998" s="14"/>
      <c r="R998" s="14"/>
      <c r="S998" s="14"/>
      <c r="T998" s="14"/>
      <c r="U998" s="14"/>
      <c r="V998" s="14"/>
      <c r="W998" s="14"/>
      <c r="X998" s="14"/>
      <c r="Y998" s="14"/>
      <c r="Z998" s="14"/>
      <c r="AA998" s="14"/>
    </row>
    <row r="999" spans="1:27" ht="15.75" hidden="1" customHeight="1" x14ac:dyDescent="0.2">
      <c r="A999" s="7" t="s">
        <v>186</v>
      </c>
      <c r="B999" s="7" t="s">
        <v>431</v>
      </c>
      <c r="C999" s="7" t="s">
        <v>466</v>
      </c>
      <c r="D999" s="8">
        <v>2</v>
      </c>
      <c r="E999" s="9">
        <v>193405</v>
      </c>
      <c r="F999" s="9">
        <v>1057059</v>
      </c>
      <c r="G999" s="9">
        <v>9.5514829999999993</v>
      </c>
      <c r="H999" s="9">
        <v>-83.792833000000002</v>
      </c>
      <c r="I999" s="7">
        <v>2595</v>
      </c>
      <c r="J999" s="7" t="s">
        <v>20</v>
      </c>
      <c r="K999" s="10">
        <v>42880</v>
      </c>
      <c r="L999" s="10">
        <v>42893</v>
      </c>
      <c r="M999" s="11">
        <f t="shared" si="61"/>
        <v>14</v>
      </c>
      <c r="N999" s="11">
        <f t="shared" si="1"/>
        <v>14</v>
      </c>
      <c r="O999" s="8"/>
      <c r="P999" s="8">
        <v>40</v>
      </c>
      <c r="Q999" s="14"/>
      <c r="R999" s="14"/>
      <c r="S999" s="14"/>
      <c r="T999" s="14"/>
      <c r="U999" s="14"/>
      <c r="V999" s="14"/>
      <c r="W999" s="14"/>
      <c r="X999" s="14"/>
      <c r="Y999" s="14"/>
      <c r="Z999" s="14"/>
      <c r="AA999" s="14"/>
    </row>
    <row r="1000" spans="1:27" ht="15.75" hidden="1" customHeight="1" x14ac:dyDescent="0.2">
      <c r="A1000" s="7" t="s">
        <v>297</v>
      </c>
      <c r="B1000" s="7" t="s">
        <v>431</v>
      </c>
      <c r="C1000" s="7" t="s">
        <v>466</v>
      </c>
      <c r="D1000" s="8">
        <v>2</v>
      </c>
      <c r="E1000" s="9">
        <v>193405</v>
      </c>
      <c r="F1000" s="9">
        <v>1057059</v>
      </c>
      <c r="G1000" s="9">
        <v>9.5514829999999993</v>
      </c>
      <c r="H1000" s="9">
        <v>-83.792833000000002</v>
      </c>
      <c r="I1000" s="7">
        <v>2595</v>
      </c>
      <c r="J1000" s="7" t="s">
        <v>20</v>
      </c>
      <c r="K1000" s="10">
        <v>43277</v>
      </c>
      <c r="L1000" s="10">
        <v>43301</v>
      </c>
      <c r="M1000" s="11">
        <f t="shared" si="61"/>
        <v>25</v>
      </c>
      <c r="N1000" s="11">
        <f t="shared" si="1"/>
        <v>25</v>
      </c>
      <c r="O1000" s="8"/>
      <c r="P1000" s="8">
        <v>40</v>
      </c>
      <c r="Q1000" s="14"/>
      <c r="R1000" s="14"/>
      <c r="S1000" s="14"/>
      <c r="T1000" s="14"/>
      <c r="U1000" s="14"/>
      <c r="V1000" s="14"/>
      <c r="W1000" s="14"/>
      <c r="X1000" s="14"/>
      <c r="Y1000" s="14"/>
      <c r="Z1000" s="14"/>
      <c r="AA1000" s="14"/>
    </row>
    <row r="1001" spans="1:27" ht="15.75" hidden="1" customHeight="1" x14ac:dyDescent="0.2">
      <c r="A1001" s="20" t="s">
        <v>297</v>
      </c>
      <c r="B1001" s="20" t="s">
        <v>431</v>
      </c>
      <c r="C1001" s="20" t="s">
        <v>466</v>
      </c>
      <c r="D1001" s="8">
        <v>2</v>
      </c>
      <c r="E1001" s="22">
        <v>193405</v>
      </c>
      <c r="F1001" s="22">
        <v>1057059</v>
      </c>
      <c r="G1001" s="22">
        <v>9.5514829999999993</v>
      </c>
      <c r="H1001" s="22">
        <v>-83.792833000000002</v>
      </c>
      <c r="I1001" s="20">
        <v>2595</v>
      </c>
      <c r="J1001" s="20" t="s">
        <v>20</v>
      </c>
      <c r="K1001" s="23"/>
      <c r="L1001" s="23"/>
      <c r="M1001" s="24">
        <f t="shared" si="61"/>
        <v>0</v>
      </c>
      <c r="N1001" s="11">
        <f t="shared" si="1"/>
        <v>0</v>
      </c>
      <c r="O1001" s="25"/>
      <c r="P1001" s="21">
        <v>40</v>
      </c>
      <c r="Q1001" s="14"/>
      <c r="R1001" s="14"/>
      <c r="S1001" s="14"/>
      <c r="T1001" s="14"/>
      <c r="U1001" s="14"/>
      <c r="V1001" s="14"/>
      <c r="W1001" s="14"/>
      <c r="X1001" s="14"/>
      <c r="Y1001" s="14"/>
      <c r="Z1001" s="14"/>
      <c r="AA1001" s="14"/>
    </row>
    <row r="1002" spans="1:27" ht="15.75" hidden="1" customHeight="1" x14ac:dyDescent="0.2">
      <c r="A1002" s="14" t="s">
        <v>444</v>
      </c>
      <c r="B1002" s="14" t="s">
        <v>431</v>
      </c>
      <c r="C1002" s="14" t="s">
        <v>466</v>
      </c>
      <c r="D1002" s="8">
        <v>2</v>
      </c>
      <c r="E1002" s="16">
        <v>193405</v>
      </c>
      <c r="F1002" s="16">
        <v>1057059</v>
      </c>
      <c r="G1002" s="16">
        <v>9.5514829999999993</v>
      </c>
      <c r="H1002" s="16">
        <v>-83.792833000000002</v>
      </c>
      <c r="I1002" s="14">
        <v>2595</v>
      </c>
      <c r="J1002" s="14" t="s">
        <v>20</v>
      </c>
      <c r="K1002" s="17">
        <v>43649</v>
      </c>
      <c r="L1002" s="17">
        <v>43693</v>
      </c>
      <c r="M1002" s="18">
        <f t="shared" si="61"/>
        <v>45</v>
      </c>
      <c r="N1002" s="11">
        <f t="shared" si="1"/>
        <v>45</v>
      </c>
      <c r="O1002" s="15" t="s">
        <v>615</v>
      </c>
      <c r="P1002" s="15">
        <v>40</v>
      </c>
      <c r="Q1002" s="14"/>
      <c r="R1002" s="14"/>
      <c r="S1002" s="14"/>
      <c r="T1002" s="14"/>
      <c r="U1002" s="14"/>
      <c r="V1002" s="14"/>
      <c r="W1002" s="14"/>
      <c r="X1002" s="14"/>
      <c r="Y1002" s="14"/>
      <c r="Z1002" s="14"/>
      <c r="AA1002" s="14"/>
    </row>
    <row r="1003" spans="1:27" ht="15.75" hidden="1" customHeight="1" x14ac:dyDescent="0.2">
      <c r="A1003" s="7" t="s">
        <v>441</v>
      </c>
      <c r="B1003" s="7" t="s">
        <v>431</v>
      </c>
      <c r="C1003" s="7" t="s">
        <v>466</v>
      </c>
      <c r="D1003" s="8">
        <v>2</v>
      </c>
      <c r="E1003" s="7">
        <v>193405</v>
      </c>
      <c r="F1003" s="7">
        <v>1057059</v>
      </c>
      <c r="G1003" s="7">
        <v>9.5514829999999993</v>
      </c>
      <c r="H1003" s="7">
        <v>-83.792833000000002</v>
      </c>
      <c r="I1003" s="14">
        <v>2595</v>
      </c>
      <c r="J1003" s="14" t="s">
        <v>20</v>
      </c>
      <c r="K1003" s="10">
        <v>40910</v>
      </c>
      <c r="L1003" s="10">
        <v>41014</v>
      </c>
      <c r="M1003" s="18">
        <f t="shared" si="61"/>
        <v>105</v>
      </c>
      <c r="N1003" s="11">
        <f t="shared" si="1"/>
        <v>105</v>
      </c>
      <c r="O1003" s="8" t="s">
        <v>62</v>
      </c>
      <c r="P1003" s="8">
        <v>40</v>
      </c>
      <c r="Q1003" s="14"/>
      <c r="R1003" s="14"/>
      <c r="S1003" s="14"/>
      <c r="T1003" s="14"/>
      <c r="U1003" s="14"/>
      <c r="V1003" s="14"/>
      <c r="W1003" s="14"/>
      <c r="X1003" s="14"/>
      <c r="Y1003" s="14"/>
      <c r="Z1003" s="14"/>
      <c r="AA1003" s="14"/>
    </row>
    <row r="1004" spans="1:27" ht="15.75" hidden="1" customHeight="1" x14ac:dyDescent="0.2">
      <c r="A1004" s="7" t="s">
        <v>61</v>
      </c>
      <c r="B1004" s="7" t="s">
        <v>431</v>
      </c>
      <c r="C1004" s="7" t="s">
        <v>466</v>
      </c>
      <c r="D1004" s="8">
        <v>1</v>
      </c>
      <c r="E1004" s="9">
        <v>192868</v>
      </c>
      <c r="F1004" s="9">
        <v>1057081</v>
      </c>
      <c r="G1004" s="9">
        <v>9.5515170000000005</v>
      </c>
      <c r="H1004" s="9">
        <v>-83.797416999999996</v>
      </c>
      <c r="I1004" s="7">
        <v>2556</v>
      </c>
      <c r="J1004" s="7" t="s">
        <v>20</v>
      </c>
      <c r="K1004" s="10">
        <v>41138</v>
      </c>
      <c r="L1004" s="10">
        <v>41237</v>
      </c>
      <c r="M1004" s="11">
        <f t="shared" si="61"/>
        <v>100</v>
      </c>
      <c r="N1004" s="11">
        <f t="shared" si="1"/>
        <v>100</v>
      </c>
      <c r="O1004" s="8"/>
      <c r="P1004" s="8">
        <v>6</v>
      </c>
      <c r="Q1004" s="14"/>
      <c r="R1004" s="14"/>
      <c r="S1004" s="14"/>
      <c r="T1004" s="14"/>
      <c r="U1004" s="14"/>
      <c r="V1004" s="14"/>
      <c r="W1004" s="14"/>
      <c r="X1004" s="14"/>
      <c r="Y1004" s="14"/>
      <c r="Z1004" s="14"/>
      <c r="AA1004" s="14"/>
    </row>
    <row r="1005" spans="1:27" ht="15.75" hidden="1" customHeight="1" x14ac:dyDescent="0.2">
      <c r="A1005" s="7" t="s">
        <v>16</v>
      </c>
      <c r="B1005" s="7" t="s">
        <v>431</v>
      </c>
      <c r="C1005" s="7" t="s">
        <v>466</v>
      </c>
      <c r="D1005" s="8">
        <v>1</v>
      </c>
      <c r="E1005" s="9">
        <v>192867</v>
      </c>
      <c r="F1005" s="9">
        <v>1057094</v>
      </c>
      <c r="G1005" s="9">
        <v>9.5515170000000005</v>
      </c>
      <c r="H1005" s="9">
        <v>-83.797416999999996</v>
      </c>
      <c r="I1005" s="7">
        <v>2549</v>
      </c>
      <c r="J1005" s="7" t="s">
        <v>20</v>
      </c>
      <c r="K1005" s="10">
        <v>41469</v>
      </c>
      <c r="L1005" s="10">
        <v>41634</v>
      </c>
      <c r="M1005" s="11">
        <v>166</v>
      </c>
      <c r="N1005" s="11">
        <f t="shared" si="1"/>
        <v>166</v>
      </c>
      <c r="O1005" s="8"/>
      <c r="P1005" s="8">
        <v>6</v>
      </c>
      <c r="Q1005" s="14"/>
      <c r="R1005" s="14"/>
      <c r="S1005" s="14"/>
      <c r="T1005" s="14"/>
      <c r="U1005" s="14"/>
      <c r="V1005" s="14"/>
      <c r="W1005" s="14"/>
      <c r="X1005" s="14"/>
      <c r="Y1005" s="14"/>
      <c r="Z1005" s="14"/>
      <c r="AA1005" s="14"/>
    </row>
    <row r="1006" spans="1:27" ht="15.75" hidden="1" customHeight="1" x14ac:dyDescent="0.2">
      <c r="A1006" s="7" t="s">
        <v>36</v>
      </c>
      <c r="B1006" s="7" t="s">
        <v>431</v>
      </c>
      <c r="C1006" s="7" t="s">
        <v>466</v>
      </c>
      <c r="D1006" s="8">
        <v>1</v>
      </c>
      <c r="E1006" s="9">
        <v>192867</v>
      </c>
      <c r="F1006" s="9">
        <v>1057094</v>
      </c>
      <c r="G1006" s="9">
        <v>9.5515170000000005</v>
      </c>
      <c r="H1006" s="9">
        <v>-83.797416999999996</v>
      </c>
      <c r="I1006" s="7">
        <v>2549</v>
      </c>
      <c r="J1006" s="7" t="s">
        <v>20</v>
      </c>
      <c r="K1006" s="10">
        <v>41850</v>
      </c>
      <c r="L1006" s="10">
        <v>41962</v>
      </c>
      <c r="M1006" s="11">
        <f t="shared" ref="M1006:M1007" si="62">IF(ISBLANK(K1006),0,IF(ISBLANK(L1006),0,L1006-K1006+1))</f>
        <v>113</v>
      </c>
      <c r="N1006" s="11">
        <f t="shared" si="1"/>
        <v>113</v>
      </c>
      <c r="O1006" s="8"/>
      <c r="P1006" s="8">
        <v>6</v>
      </c>
      <c r="Q1006" s="14"/>
      <c r="R1006" s="14"/>
      <c r="S1006" s="14"/>
      <c r="T1006" s="14"/>
      <c r="U1006" s="14"/>
      <c r="V1006" s="14"/>
      <c r="W1006" s="14"/>
      <c r="X1006" s="14"/>
      <c r="Y1006" s="14"/>
      <c r="Z1006" s="14"/>
      <c r="AA1006" s="14"/>
    </row>
    <row r="1007" spans="1:27" ht="15.75" hidden="1" customHeight="1" x14ac:dyDescent="0.2">
      <c r="A1007" s="7" t="s">
        <v>165</v>
      </c>
      <c r="B1007" s="7" t="s">
        <v>431</v>
      </c>
      <c r="C1007" s="7" t="s">
        <v>466</v>
      </c>
      <c r="D1007" s="8">
        <v>1</v>
      </c>
      <c r="E1007" s="9">
        <v>192867</v>
      </c>
      <c r="F1007" s="9">
        <v>1057094</v>
      </c>
      <c r="G1007" s="9">
        <v>9.5515170000000005</v>
      </c>
      <c r="H1007" s="9">
        <v>-83.797416999999996</v>
      </c>
      <c r="I1007" s="7">
        <v>2549</v>
      </c>
      <c r="J1007" s="7" t="s">
        <v>20</v>
      </c>
      <c r="K1007" s="10">
        <v>42624</v>
      </c>
      <c r="L1007" s="10">
        <v>42688</v>
      </c>
      <c r="M1007" s="11">
        <f t="shared" si="62"/>
        <v>65</v>
      </c>
      <c r="N1007" s="11">
        <f t="shared" si="1"/>
        <v>65</v>
      </c>
      <c r="O1007" s="8"/>
      <c r="P1007" s="8">
        <v>6</v>
      </c>
      <c r="Q1007" s="14"/>
      <c r="R1007" s="14"/>
      <c r="S1007" s="14"/>
      <c r="T1007" s="14"/>
      <c r="U1007" s="14"/>
      <c r="V1007" s="14"/>
      <c r="W1007" s="14"/>
      <c r="X1007" s="14"/>
      <c r="Y1007" s="14"/>
      <c r="Z1007" s="14"/>
      <c r="AA1007" s="14"/>
    </row>
    <row r="1008" spans="1:27" ht="15.75" hidden="1" customHeight="1" x14ac:dyDescent="0.2">
      <c r="A1008" s="7" t="s">
        <v>128</v>
      </c>
      <c r="B1008" s="7" t="s">
        <v>431</v>
      </c>
      <c r="C1008" s="7" t="s">
        <v>466</v>
      </c>
      <c r="D1008" s="8">
        <v>1</v>
      </c>
      <c r="E1008" s="9">
        <v>192867</v>
      </c>
      <c r="F1008" s="9">
        <v>1057094</v>
      </c>
      <c r="G1008" s="9">
        <v>9.5515170000000005</v>
      </c>
      <c r="H1008" s="9">
        <v>-83.797416999999996</v>
      </c>
      <c r="I1008" s="7">
        <v>2549</v>
      </c>
      <c r="J1008" s="7" t="s">
        <v>20</v>
      </c>
      <c r="K1008" s="10">
        <v>42894</v>
      </c>
      <c r="L1008" s="10">
        <v>43101</v>
      </c>
      <c r="M1008" s="11">
        <v>155</v>
      </c>
      <c r="N1008" s="11">
        <f t="shared" si="1"/>
        <v>208</v>
      </c>
      <c r="O1008" s="8"/>
      <c r="P1008" s="8">
        <v>6</v>
      </c>
      <c r="Q1008" s="14"/>
      <c r="R1008" s="14"/>
      <c r="S1008" s="14"/>
      <c r="T1008" s="14"/>
      <c r="U1008" s="14"/>
      <c r="V1008" s="14"/>
      <c r="W1008" s="14"/>
      <c r="X1008" s="14"/>
      <c r="Y1008" s="14"/>
      <c r="Z1008" s="14"/>
      <c r="AA1008" s="14"/>
    </row>
    <row r="1009" spans="1:27" ht="15.75" hidden="1" customHeight="1" x14ac:dyDescent="0.2">
      <c r="A1009" s="14" t="s">
        <v>287</v>
      </c>
      <c r="B1009" s="14" t="s">
        <v>431</v>
      </c>
      <c r="C1009" s="14" t="s">
        <v>466</v>
      </c>
      <c r="D1009" s="8">
        <v>1</v>
      </c>
      <c r="E1009" s="16">
        <v>192867</v>
      </c>
      <c r="F1009" s="16">
        <v>1057094</v>
      </c>
      <c r="G1009" s="16">
        <v>9.5515170000000005</v>
      </c>
      <c r="H1009" s="16">
        <v>-83.797416999999996</v>
      </c>
      <c r="I1009" s="14">
        <v>2549</v>
      </c>
      <c r="J1009" s="14" t="s">
        <v>20</v>
      </c>
      <c r="K1009" s="17">
        <v>43452</v>
      </c>
      <c r="L1009" s="17">
        <v>43455</v>
      </c>
      <c r="M1009" s="18">
        <f t="shared" ref="M1009:M1016" si="63">IF(ISBLANK(K1009),0,IF(ISBLANK(L1009),0,L1009-K1009+1))</f>
        <v>4</v>
      </c>
      <c r="N1009" s="11">
        <f t="shared" si="1"/>
        <v>4</v>
      </c>
      <c r="O1009" s="15" t="s">
        <v>616</v>
      </c>
      <c r="P1009" s="15">
        <v>6</v>
      </c>
      <c r="Q1009" s="14"/>
      <c r="R1009" s="14"/>
      <c r="S1009" s="14"/>
      <c r="T1009" s="14"/>
      <c r="U1009" s="14"/>
      <c r="V1009" s="14"/>
      <c r="W1009" s="14"/>
      <c r="X1009" s="14"/>
      <c r="Y1009" s="14"/>
      <c r="Z1009" s="14"/>
      <c r="AA1009" s="14"/>
    </row>
    <row r="1010" spans="1:27" ht="15.75" hidden="1" customHeight="1" x14ac:dyDescent="0.2">
      <c r="A1010" s="7" t="s">
        <v>441</v>
      </c>
      <c r="B1010" s="7" t="s">
        <v>431</v>
      </c>
      <c r="C1010" s="7" t="s">
        <v>466</v>
      </c>
      <c r="D1010" s="8">
        <v>1</v>
      </c>
      <c r="E1010" s="9">
        <v>192868</v>
      </c>
      <c r="F1010" s="9">
        <v>1057081</v>
      </c>
      <c r="G1010" s="9">
        <v>9.5515170000000005</v>
      </c>
      <c r="H1010" s="9">
        <v>-83.797416999999996</v>
      </c>
      <c r="I1010" s="7">
        <v>2556</v>
      </c>
      <c r="J1010" s="7" t="s">
        <v>20</v>
      </c>
      <c r="K1010" s="10">
        <v>40966</v>
      </c>
      <c r="L1010" s="10">
        <v>41010</v>
      </c>
      <c r="M1010" s="11">
        <f t="shared" si="63"/>
        <v>45</v>
      </c>
      <c r="N1010" s="11">
        <f t="shared" si="1"/>
        <v>45</v>
      </c>
      <c r="O1010" s="8"/>
      <c r="P1010" s="8">
        <v>6</v>
      </c>
      <c r="Q1010" s="14"/>
      <c r="R1010" s="14"/>
      <c r="S1010" s="14"/>
      <c r="T1010" s="14"/>
      <c r="U1010" s="14"/>
      <c r="V1010" s="14"/>
      <c r="W1010" s="14"/>
      <c r="X1010" s="14"/>
      <c r="Y1010" s="14"/>
      <c r="Z1010" s="14"/>
      <c r="AA1010" s="14"/>
    </row>
    <row r="1011" spans="1:27" ht="15.75" hidden="1" customHeight="1" x14ac:dyDescent="0.2">
      <c r="A1011" s="7" t="s">
        <v>52</v>
      </c>
      <c r="B1011" s="7" t="s">
        <v>431</v>
      </c>
      <c r="C1011" s="7" t="s">
        <v>466</v>
      </c>
      <c r="D1011" s="8">
        <v>1</v>
      </c>
      <c r="E1011" s="9">
        <v>192868</v>
      </c>
      <c r="F1011" s="9">
        <v>1057081</v>
      </c>
      <c r="G1011" s="9">
        <v>9.5515170000000005</v>
      </c>
      <c r="H1011" s="9">
        <v>-83.797416999999996</v>
      </c>
      <c r="I1011" s="7">
        <v>2556</v>
      </c>
      <c r="J1011" s="7" t="s">
        <v>20</v>
      </c>
      <c r="K1011" s="10">
        <v>41020</v>
      </c>
      <c r="L1011" s="10">
        <v>41141</v>
      </c>
      <c r="M1011" s="11">
        <f t="shared" si="63"/>
        <v>122</v>
      </c>
      <c r="N1011" s="11">
        <f t="shared" si="1"/>
        <v>122</v>
      </c>
      <c r="O1011" s="8" t="s">
        <v>27</v>
      </c>
      <c r="P1011" s="8">
        <v>6</v>
      </c>
      <c r="Q1011" s="14"/>
      <c r="R1011" s="14"/>
      <c r="S1011" s="14"/>
      <c r="T1011" s="14"/>
      <c r="U1011" s="14"/>
      <c r="V1011" s="14"/>
      <c r="W1011" s="14"/>
      <c r="X1011" s="14"/>
      <c r="Y1011" s="14"/>
      <c r="Z1011" s="14"/>
      <c r="AA1011" s="14"/>
    </row>
    <row r="1012" spans="1:27" ht="15.75" hidden="1" customHeight="1" x14ac:dyDescent="0.2">
      <c r="A1012" s="7" t="s">
        <v>40</v>
      </c>
      <c r="B1012" s="7" t="s">
        <v>431</v>
      </c>
      <c r="C1012" s="7" t="s">
        <v>466</v>
      </c>
      <c r="D1012" s="8">
        <v>1</v>
      </c>
      <c r="E1012" s="9">
        <v>192868</v>
      </c>
      <c r="F1012" s="9">
        <v>1057081</v>
      </c>
      <c r="G1012" s="9">
        <v>9.5515170000000005</v>
      </c>
      <c r="H1012" s="9">
        <v>-83.797416999999996</v>
      </c>
      <c r="I1012" s="7">
        <v>2556</v>
      </c>
      <c r="J1012" s="7" t="s">
        <v>20</v>
      </c>
      <c r="K1012" s="10">
        <v>41326</v>
      </c>
      <c r="L1012" s="10">
        <v>41447</v>
      </c>
      <c r="M1012" s="11">
        <f t="shared" si="63"/>
        <v>122</v>
      </c>
      <c r="N1012" s="11">
        <f t="shared" si="1"/>
        <v>122</v>
      </c>
      <c r="O1012" s="8"/>
      <c r="P1012" s="8">
        <v>6</v>
      </c>
      <c r="Q1012" s="14"/>
      <c r="R1012" s="14"/>
      <c r="S1012" s="14"/>
      <c r="T1012" s="14"/>
      <c r="U1012" s="14"/>
      <c r="V1012" s="14"/>
      <c r="W1012" s="14"/>
      <c r="X1012" s="14"/>
      <c r="Y1012" s="14"/>
      <c r="Z1012" s="14"/>
      <c r="AA1012" s="14"/>
    </row>
    <row r="1013" spans="1:27" ht="15.75" hidden="1" customHeight="1" x14ac:dyDescent="0.2">
      <c r="A1013" s="7" t="s">
        <v>42</v>
      </c>
      <c r="B1013" s="7" t="s">
        <v>431</v>
      </c>
      <c r="C1013" s="7" t="s">
        <v>466</v>
      </c>
      <c r="D1013" s="8">
        <v>1</v>
      </c>
      <c r="E1013" s="9">
        <v>192867</v>
      </c>
      <c r="F1013" s="9">
        <v>1057094</v>
      </c>
      <c r="G1013" s="9">
        <v>9.5515170000000005</v>
      </c>
      <c r="H1013" s="9">
        <v>-83.797416999999996</v>
      </c>
      <c r="I1013" s="7">
        <v>2549</v>
      </c>
      <c r="J1013" s="7" t="s">
        <v>20</v>
      </c>
      <c r="K1013" s="10">
        <v>41635</v>
      </c>
      <c r="L1013" s="10">
        <v>41805</v>
      </c>
      <c r="M1013" s="11">
        <f t="shared" si="63"/>
        <v>171</v>
      </c>
      <c r="N1013" s="11">
        <f t="shared" si="1"/>
        <v>171</v>
      </c>
      <c r="O1013" s="8" t="s">
        <v>617</v>
      </c>
      <c r="P1013" s="8">
        <v>6</v>
      </c>
      <c r="Q1013" s="14"/>
      <c r="R1013" s="14"/>
      <c r="S1013" s="14"/>
      <c r="T1013" s="14"/>
      <c r="U1013" s="14"/>
      <c r="V1013" s="14"/>
      <c r="W1013" s="14"/>
      <c r="X1013" s="14"/>
      <c r="Y1013" s="14"/>
      <c r="Z1013" s="14"/>
      <c r="AA1013" s="14"/>
    </row>
    <row r="1014" spans="1:27" ht="15.75" hidden="1" customHeight="1" x14ac:dyDescent="0.2">
      <c r="A1014" s="7" t="s">
        <v>47</v>
      </c>
      <c r="B1014" s="7" t="s">
        <v>431</v>
      </c>
      <c r="C1014" s="7" t="s">
        <v>466</v>
      </c>
      <c r="D1014" s="8">
        <v>1</v>
      </c>
      <c r="E1014" s="9">
        <v>192867</v>
      </c>
      <c r="F1014" s="9">
        <v>1057094</v>
      </c>
      <c r="G1014" s="9">
        <v>9.5515170000000005</v>
      </c>
      <c r="H1014" s="9">
        <v>-83.797416999999996</v>
      </c>
      <c r="I1014" s="7">
        <v>2549</v>
      </c>
      <c r="J1014" s="7" t="s">
        <v>20</v>
      </c>
      <c r="K1014" s="10">
        <v>42097</v>
      </c>
      <c r="L1014" s="10">
        <v>42151</v>
      </c>
      <c r="M1014" s="11">
        <f t="shared" si="63"/>
        <v>55</v>
      </c>
      <c r="N1014" s="11">
        <f t="shared" si="1"/>
        <v>55</v>
      </c>
      <c r="O1014" s="8"/>
      <c r="P1014" s="8">
        <v>6</v>
      </c>
      <c r="Q1014" s="14"/>
      <c r="R1014" s="14"/>
      <c r="S1014" s="14"/>
      <c r="T1014" s="14"/>
      <c r="U1014" s="14"/>
      <c r="V1014" s="14"/>
      <c r="W1014" s="14"/>
      <c r="X1014" s="14"/>
      <c r="Y1014" s="14"/>
      <c r="Z1014" s="14"/>
      <c r="AA1014" s="14"/>
    </row>
    <row r="1015" spans="1:27" ht="15.75" hidden="1" customHeight="1" x14ac:dyDescent="0.2">
      <c r="A1015" s="7" t="s">
        <v>130</v>
      </c>
      <c r="B1015" s="7" t="s">
        <v>431</v>
      </c>
      <c r="C1015" s="7" t="s">
        <v>466</v>
      </c>
      <c r="D1015" s="8">
        <v>1</v>
      </c>
      <c r="E1015" s="9">
        <v>192867</v>
      </c>
      <c r="F1015" s="9">
        <v>1057094</v>
      </c>
      <c r="G1015" s="9">
        <v>9.5515170000000005</v>
      </c>
      <c r="H1015" s="9">
        <v>-83.797416999999996</v>
      </c>
      <c r="I1015" s="7">
        <v>2549</v>
      </c>
      <c r="J1015" s="7" t="s">
        <v>20</v>
      </c>
      <c r="K1015" s="10">
        <v>42353</v>
      </c>
      <c r="L1015" s="10">
        <v>42454</v>
      </c>
      <c r="M1015" s="11">
        <f t="shared" si="63"/>
        <v>102</v>
      </c>
      <c r="N1015" s="11">
        <f t="shared" si="1"/>
        <v>102</v>
      </c>
      <c r="O1015" s="8"/>
      <c r="P1015" s="8">
        <v>6</v>
      </c>
      <c r="Q1015" s="14"/>
      <c r="R1015" s="14"/>
      <c r="S1015" s="14"/>
      <c r="T1015" s="14"/>
      <c r="U1015" s="14"/>
      <c r="V1015" s="14"/>
      <c r="W1015" s="14"/>
      <c r="X1015" s="14"/>
      <c r="Y1015" s="14"/>
      <c r="Z1015" s="14"/>
      <c r="AA1015" s="14"/>
    </row>
    <row r="1016" spans="1:27" ht="15.75" hidden="1" customHeight="1" x14ac:dyDescent="0.2">
      <c r="A1016" s="7" t="s">
        <v>131</v>
      </c>
      <c r="B1016" s="7" t="s">
        <v>431</v>
      </c>
      <c r="C1016" s="7" t="s">
        <v>466</v>
      </c>
      <c r="D1016" s="8">
        <v>1</v>
      </c>
      <c r="E1016" s="9">
        <v>192867</v>
      </c>
      <c r="F1016" s="9">
        <v>1057094</v>
      </c>
      <c r="G1016" s="9">
        <v>9.5515170000000005</v>
      </c>
      <c r="H1016" s="9">
        <v>-83.797416999999996</v>
      </c>
      <c r="I1016" s="7">
        <v>2549</v>
      </c>
      <c r="J1016" s="7" t="s">
        <v>20</v>
      </c>
      <c r="K1016" s="10">
        <v>42750</v>
      </c>
      <c r="L1016" s="10">
        <v>42853</v>
      </c>
      <c r="M1016" s="11">
        <f t="shared" si="63"/>
        <v>104</v>
      </c>
      <c r="N1016" s="11">
        <f t="shared" si="1"/>
        <v>104</v>
      </c>
      <c r="O1016" s="8" t="s">
        <v>618</v>
      </c>
      <c r="P1016" s="8">
        <v>6</v>
      </c>
      <c r="Q1016" s="14"/>
      <c r="R1016" s="14"/>
      <c r="S1016" s="14"/>
      <c r="T1016" s="14"/>
      <c r="U1016" s="14"/>
      <c r="V1016" s="14"/>
      <c r="W1016" s="14"/>
      <c r="X1016" s="14"/>
      <c r="Y1016" s="14"/>
      <c r="Z1016" s="14"/>
      <c r="AA1016" s="14"/>
    </row>
    <row r="1017" spans="1:27" ht="15.75" hidden="1" customHeight="1" x14ac:dyDescent="0.2">
      <c r="A1017" s="7" t="s">
        <v>132</v>
      </c>
      <c r="B1017" s="7" t="s">
        <v>431</v>
      </c>
      <c r="C1017" s="7" t="s">
        <v>466</v>
      </c>
      <c r="D1017" s="8">
        <v>1</v>
      </c>
      <c r="E1017" s="9">
        <v>192867</v>
      </c>
      <c r="F1017" s="9">
        <v>1057094</v>
      </c>
      <c r="G1017" s="9">
        <v>9.5515170000000005</v>
      </c>
      <c r="H1017" s="9">
        <v>-83.797416999999996</v>
      </c>
      <c r="I1017" s="7">
        <v>2549</v>
      </c>
      <c r="J1017" s="7" t="s">
        <v>20</v>
      </c>
      <c r="K1017" s="10">
        <v>43102</v>
      </c>
      <c r="L1017" s="10">
        <v>43276</v>
      </c>
      <c r="M1017" s="11">
        <v>137</v>
      </c>
      <c r="N1017" s="11">
        <f t="shared" si="1"/>
        <v>175</v>
      </c>
      <c r="O1017" s="8"/>
      <c r="P1017" s="8">
        <v>6</v>
      </c>
      <c r="Q1017" s="14"/>
      <c r="R1017" s="14"/>
      <c r="S1017" s="14"/>
      <c r="T1017" s="14"/>
      <c r="U1017" s="14"/>
      <c r="V1017" s="14"/>
      <c r="W1017" s="14"/>
      <c r="X1017" s="14"/>
      <c r="Y1017" s="14"/>
      <c r="Z1017" s="14"/>
      <c r="AA1017" s="14"/>
    </row>
    <row r="1018" spans="1:27" ht="15.75" hidden="1" customHeight="1" x14ac:dyDescent="0.2">
      <c r="A1018" s="14" t="s">
        <v>230</v>
      </c>
      <c r="B1018" s="14" t="s">
        <v>431</v>
      </c>
      <c r="C1018" s="14" t="s">
        <v>466</v>
      </c>
      <c r="D1018" s="8">
        <v>1</v>
      </c>
      <c r="E1018" s="16">
        <v>192867</v>
      </c>
      <c r="F1018" s="16">
        <v>1057094</v>
      </c>
      <c r="G1018" s="16">
        <v>9.5515170000000005</v>
      </c>
      <c r="H1018" s="16">
        <v>-83.797416999999996</v>
      </c>
      <c r="I1018" s="14">
        <v>2549</v>
      </c>
      <c r="J1018" s="14" t="s">
        <v>20</v>
      </c>
      <c r="K1018" s="17">
        <v>43538</v>
      </c>
      <c r="L1018" s="17">
        <v>43547</v>
      </c>
      <c r="M1018" s="18">
        <f t="shared" ref="M1018:M1071" si="64">IF(ISBLANK(K1018),0,IF(ISBLANK(L1018),0,L1018-K1018+1))</f>
        <v>10</v>
      </c>
      <c r="N1018" s="11">
        <f t="shared" si="1"/>
        <v>10</v>
      </c>
      <c r="O1018" s="15" t="s">
        <v>619</v>
      </c>
      <c r="P1018" s="15">
        <v>6</v>
      </c>
      <c r="Q1018" s="14"/>
      <c r="R1018" s="14"/>
      <c r="S1018" s="14"/>
      <c r="T1018" s="14"/>
      <c r="U1018" s="14"/>
      <c r="V1018" s="14"/>
      <c r="W1018" s="14"/>
      <c r="X1018" s="14"/>
      <c r="Y1018" s="14"/>
      <c r="Z1018" s="14"/>
      <c r="AA1018" s="14"/>
    </row>
    <row r="1019" spans="1:27" ht="15.75" hidden="1" customHeight="1" x14ac:dyDescent="0.2">
      <c r="A1019" s="14" t="s">
        <v>230</v>
      </c>
      <c r="B1019" s="14" t="s">
        <v>431</v>
      </c>
      <c r="C1019" s="14" t="s">
        <v>466</v>
      </c>
      <c r="D1019" s="8">
        <v>1</v>
      </c>
      <c r="E1019" s="16">
        <v>192867</v>
      </c>
      <c r="F1019" s="16">
        <v>1057094</v>
      </c>
      <c r="G1019" s="16">
        <v>9.5515170000000005</v>
      </c>
      <c r="H1019" s="16">
        <v>-83.797416999999996</v>
      </c>
      <c r="I1019" s="14">
        <v>2549</v>
      </c>
      <c r="J1019" s="14" t="s">
        <v>20</v>
      </c>
      <c r="K1019" s="17">
        <v>43566</v>
      </c>
      <c r="L1019" s="17">
        <v>43608</v>
      </c>
      <c r="M1019" s="18">
        <f t="shared" si="64"/>
        <v>43</v>
      </c>
      <c r="N1019" s="11">
        <f t="shared" si="1"/>
        <v>43</v>
      </c>
      <c r="O1019" s="15" t="s">
        <v>620</v>
      </c>
      <c r="P1019" s="15">
        <v>6</v>
      </c>
      <c r="Q1019" s="14"/>
      <c r="R1019" s="14"/>
      <c r="S1019" s="14"/>
      <c r="T1019" s="14"/>
      <c r="U1019" s="14"/>
      <c r="V1019" s="14"/>
      <c r="W1019" s="14"/>
      <c r="X1019" s="14"/>
      <c r="Y1019" s="14"/>
      <c r="Z1019" s="14"/>
      <c r="AA1019" s="14"/>
    </row>
    <row r="1020" spans="1:27" ht="15.75" hidden="1" customHeight="1" x14ac:dyDescent="0.2">
      <c r="A1020" s="7" t="s">
        <v>193</v>
      </c>
      <c r="B1020" s="7" t="s">
        <v>431</v>
      </c>
      <c r="C1020" s="7" t="s">
        <v>466</v>
      </c>
      <c r="D1020" s="8">
        <v>1</v>
      </c>
      <c r="E1020" s="9">
        <v>192868</v>
      </c>
      <c r="F1020" s="9">
        <v>1057081</v>
      </c>
      <c r="G1020" s="9">
        <v>9.5515170000000005</v>
      </c>
      <c r="H1020" s="9">
        <v>-83.797416999999996</v>
      </c>
      <c r="I1020" s="7">
        <v>2556</v>
      </c>
      <c r="J1020" s="7" t="s">
        <v>20</v>
      </c>
      <c r="K1020" s="10">
        <v>41452</v>
      </c>
      <c r="L1020" s="10">
        <v>41489</v>
      </c>
      <c r="M1020" s="11">
        <f t="shared" si="64"/>
        <v>38</v>
      </c>
      <c r="N1020" s="11">
        <f t="shared" si="1"/>
        <v>38</v>
      </c>
      <c r="O1020" s="8"/>
      <c r="P1020" s="8">
        <v>6</v>
      </c>
      <c r="Q1020" s="14"/>
      <c r="R1020" s="14"/>
      <c r="S1020" s="14"/>
      <c r="T1020" s="14"/>
      <c r="U1020" s="14"/>
      <c r="V1020" s="14"/>
      <c r="W1020" s="14"/>
      <c r="X1020" s="14"/>
      <c r="Y1020" s="14"/>
      <c r="Z1020" s="14"/>
      <c r="AA1020" s="14"/>
    </row>
    <row r="1021" spans="1:27" ht="15.75" hidden="1" customHeight="1" x14ac:dyDescent="0.2">
      <c r="A1021" s="7" t="s">
        <v>182</v>
      </c>
      <c r="B1021" s="7" t="s">
        <v>431</v>
      </c>
      <c r="C1021" s="7" t="s">
        <v>466</v>
      </c>
      <c r="D1021" s="8">
        <v>1</v>
      </c>
      <c r="E1021" s="9">
        <v>192867</v>
      </c>
      <c r="F1021" s="9">
        <v>1057094</v>
      </c>
      <c r="G1021" s="9">
        <v>9.5515170000000005</v>
      </c>
      <c r="H1021" s="9">
        <v>-83.797416999999996</v>
      </c>
      <c r="I1021" s="7">
        <v>2549</v>
      </c>
      <c r="J1021" s="7" t="s">
        <v>20</v>
      </c>
      <c r="K1021" s="10">
        <v>41835</v>
      </c>
      <c r="L1021" s="10">
        <v>41835</v>
      </c>
      <c r="M1021" s="11">
        <f t="shared" si="64"/>
        <v>1</v>
      </c>
      <c r="N1021" s="11">
        <f t="shared" si="1"/>
        <v>1</v>
      </c>
      <c r="O1021" s="8"/>
      <c r="P1021" s="8">
        <v>6</v>
      </c>
      <c r="Q1021" s="14"/>
      <c r="R1021" s="14"/>
      <c r="S1021" s="14"/>
      <c r="T1021" s="14"/>
      <c r="U1021" s="14"/>
      <c r="V1021" s="14"/>
      <c r="W1021" s="14"/>
      <c r="X1021" s="14"/>
      <c r="Y1021" s="14"/>
      <c r="Z1021" s="14"/>
      <c r="AA1021" s="14"/>
    </row>
    <row r="1022" spans="1:27" ht="15.75" hidden="1" customHeight="1" x14ac:dyDescent="0.2">
      <c r="A1022" s="7" t="s">
        <v>133</v>
      </c>
      <c r="B1022" s="7" t="s">
        <v>431</v>
      </c>
      <c r="C1022" s="7" t="s">
        <v>466</v>
      </c>
      <c r="D1022" s="8">
        <v>1</v>
      </c>
      <c r="E1022" s="9">
        <v>192867</v>
      </c>
      <c r="F1022" s="9">
        <v>1057094</v>
      </c>
      <c r="G1022" s="9">
        <v>9.5515170000000005</v>
      </c>
      <c r="H1022" s="9">
        <v>-83.797416999999996</v>
      </c>
      <c r="I1022" s="7">
        <v>2549</v>
      </c>
      <c r="J1022" s="7" t="s">
        <v>20</v>
      </c>
      <c r="K1022" s="10">
        <v>42175</v>
      </c>
      <c r="L1022" s="10">
        <v>42179</v>
      </c>
      <c r="M1022" s="11">
        <f t="shared" si="64"/>
        <v>5</v>
      </c>
      <c r="N1022" s="11">
        <f t="shared" si="1"/>
        <v>5</v>
      </c>
      <c r="O1022" s="8"/>
      <c r="P1022" s="8">
        <v>6</v>
      </c>
      <c r="Q1022" s="14"/>
      <c r="R1022" s="14"/>
      <c r="S1022" s="14"/>
      <c r="T1022" s="14"/>
      <c r="U1022" s="14"/>
      <c r="V1022" s="14"/>
      <c r="W1022" s="14"/>
      <c r="X1022" s="14"/>
      <c r="Y1022" s="14"/>
      <c r="Z1022" s="14"/>
      <c r="AA1022" s="14"/>
    </row>
    <row r="1023" spans="1:27" ht="15.75" hidden="1" customHeight="1" x14ac:dyDescent="0.2">
      <c r="A1023" s="7" t="s">
        <v>61</v>
      </c>
      <c r="B1023" s="7" t="s">
        <v>621</v>
      </c>
      <c r="C1023" s="7" t="s">
        <v>622</v>
      </c>
      <c r="D1023" s="8" t="s">
        <v>623</v>
      </c>
      <c r="E1023" s="9">
        <v>185190</v>
      </c>
      <c r="F1023" s="9">
        <v>1072155</v>
      </c>
      <c r="G1023" s="9">
        <v>9.6872000000000007</v>
      </c>
      <c r="H1023" s="9">
        <v>-83.868633000000003</v>
      </c>
      <c r="I1023" s="7">
        <v>2780</v>
      </c>
      <c r="J1023" s="7" t="s">
        <v>329</v>
      </c>
      <c r="K1023" s="10">
        <v>41141</v>
      </c>
      <c r="L1023" s="10">
        <v>41273</v>
      </c>
      <c r="M1023" s="11">
        <f t="shared" si="64"/>
        <v>133</v>
      </c>
      <c r="N1023" s="11">
        <f t="shared" si="1"/>
        <v>133</v>
      </c>
      <c r="O1023" s="8"/>
      <c r="P1023" s="8" t="s">
        <v>623</v>
      </c>
      <c r="Q1023" s="14"/>
      <c r="R1023" s="14"/>
      <c r="S1023" s="14"/>
      <c r="T1023" s="14"/>
      <c r="U1023" s="14"/>
      <c r="V1023" s="14"/>
      <c r="W1023" s="14"/>
      <c r="X1023" s="14"/>
      <c r="Y1023" s="14"/>
      <c r="Z1023" s="14"/>
      <c r="AA1023" s="14"/>
    </row>
    <row r="1024" spans="1:27" ht="15.75" hidden="1" customHeight="1" x14ac:dyDescent="0.2">
      <c r="A1024" s="7" t="s">
        <v>61</v>
      </c>
      <c r="B1024" s="7" t="s">
        <v>621</v>
      </c>
      <c r="C1024" s="7" t="s">
        <v>622</v>
      </c>
      <c r="D1024" s="8" t="s">
        <v>624</v>
      </c>
      <c r="E1024" s="9">
        <v>185871</v>
      </c>
      <c r="F1024" s="9">
        <v>1073502</v>
      </c>
      <c r="G1024" s="9">
        <v>9.6994170000000004</v>
      </c>
      <c r="H1024" s="9">
        <v>-83.862532999999999</v>
      </c>
      <c r="I1024" s="7">
        <v>2673</v>
      </c>
      <c r="J1024" s="7" t="s">
        <v>329</v>
      </c>
      <c r="K1024" s="10">
        <v>41132</v>
      </c>
      <c r="L1024" s="10">
        <v>41273</v>
      </c>
      <c r="M1024" s="11">
        <f t="shared" si="64"/>
        <v>142</v>
      </c>
      <c r="N1024" s="11">
        <f t="shared" si="1"/>
        <v>142</v>
      </c>
      <c r="O1024" s="8"/>
      <c r="P1024" s="8" t="s">
        <v>624</v>
      </c>
      <c r="Q1024" s="14"/>
      <c r="R1024" s="14"/>
      <c r="S1024" s="14"/>
      <c r="T1024" s="14"/>
      <c r="U1024" s="14"/>
      <c r="V1024" s="14"/>
      <c r="W1024" s="14"/>
      <c r="X1024" s="14"/>
      <c r="Y1024" s="14"/>
      <c r="Z1024" s="14"/>
      <c r="AA1024" s="14"/>
    </row>
    <row r="1025" spans="1:27" ht="15.75" hidden="1" customHeight="1" x14ac:dyDescent="0.2">
      <c r="A1025" s="7" t="s">
        <v>61</v>
      </c>
      <c r="B1025" s="7" t="s">
        <v>621</v>
      </c>
      <c r="C1025" s="7" t="s">
        <v>622</v>
      </c>
      <c r="D1025" s="8" t="s">
        <v>625</v>
      </c>
      <c r="E1025" s="9">
        <v>186331</v>
      </c>
      <c r="F1025" s="9">
        <v>1073102</v>
      </c>
      <c r="G1025" s="9">
        <v>9.6958330000000004</v>
      </c>
      <c r="H1025" s="9">
        <v>-83.858317</v>
      </c>
      <c r="I1025" s="7">
        <v>2673</v>
      </c>
      <c r="J1025" s="7" t="s">
        <v>329</v>
      </c>
      <c r="K1025" s="10">
        <v>41141</v>
      </c>
      <c r="L1025" s="10">
        <v>41273</v>
      </c>
      <c r="M1025" s="11">
        <f t="shared" si="64"/>
        <v>133</v>
      </c>
      <c r="N1025" s="11">
        <f t="shared" si="1"/>
        <v>133</v>
      </c>
      <c r="O1025" s="8"/>
      <c r="P1025" s="8" t="s">
        <v>625</v>
      </c>
      <c r="Q1025" s="14"/>
      <c r="R1025" s="14"/>
      <c r="S1025" s="14"/>
      <c r="T1025" s="14"/>
      <c r="U1025" s="14"/>
      <c r="V1025" s="14"/>
      <c r="W1025" s="14"/>
      <c r="X1025" s="14"/>
      <c r="Y1025" s="14"/>
      <c r="Z1025" s="14"/>
      <c r="AA1025" s="14"/>
    </row>
    <row r="1026" spans="1:27" ht="15.75" hidden="1" customHeight="1" x14ac:dyDescent="0.2">
      <c r="A1026" s="7" t="s">
        <v>61</v>
      </c>
      <c r="B1026" s="7" t="s">
        <v>621</v>
      </c>
      <c r="C1026" s="7" t="s">
        <v>622</v>
      </c>
      <c r="D1026" s="8" t="s">
        <v>626</v>
      </c>
      <c r="E1026" s="9">
        <v>186414</v>
      </c>
      <c r="F1026" s="9">
        <v>1074887</v>
      </c>
      <c r="G1026" s="9">
        <v>9.7119669999999996</v>
      </c>
      <c r="H1026" s="9">
        <v>-83.857699999999994</v>
      </c>
      <c r="I1026" s="7">
        <v>2344</v>
      </c>
      <c r="J1026" s="7" t="s">
        <v>329</v>
      </c>
      <c r="K1026" s="10">
        <v>41141</v>
      </c>
      <c r="L1026" s="10">
        <v>41273</v>
      </c>
      <c r="M1026" s="11">
        <f t="shared" si="64"/>
        <v>133</v>
      </c>
      <c r="N1026" s="11">
        <f t="shared" si="1"/>
        <v>133</v>
      </c>
      <c r="O1026" s="8"/>
      <c r="P1026" s="8" t="s">
        <v>626</v>
      </c>
      <c r="Q1026" s="14"/>
      <c r="R1026" s="14"/>
      <c r="S1026" s="14"/>
      <c r="T1026" s="14"/>
      <c r="U1026" s="14"/>
      <c r="V1026" s="14"/>
      <c r="W1026" s="14"/>
      <c r="X1026" s="14"/>
      <c r="Y1026" s="14"/>
      <c r="Z1026" s="14"/>
      <c r="AA1026" s="14"/>
    </row>
    <row r="1027" spans="1:27" ht="15.75" hidden="1" customHeight="1" x14ac:dyDescent="0.2">
      <c r="A1027" s="7" t="s">
        <v>61</v>
      </c>
      <c r="B1027" s="7" t="s">
        <v>621</v>
      </c>
      <c r="C1027" s="7" t="s">
        <v>627</v>
      </c>
      <c r="D1027" s="8" t="s">
        <v>628</v>
      </c>
      <c r="E1027" s="9">
        <v>188010</v>
      </c>
      <c r="F1027" s="9">
        <v>1068530</v>
      </c>
      <c r="G1027" s="9">
        <v>9.6546669999999999</v>
      </c>
      <c r="H1027" s="9">
        <v>-83.842682999999994</v>
      </c>
      <c r="I1027" s="7">
        <v>2702</v>
      </c>
      <c r="J1027" s="7" t="s">
        <v>26</v>
      </c>
      <c r="K1027" s="10">
        <v>41141</v>
      </c>
      <c r="L1027" s="10">
        <v>41273</v>
      </c>
      <c r="M1027" s="11">
        <f t="shared" si="64"/>
        <v>133</v>
      </c>
      <c r="N1027" s="11">
        <f t="shared" si="1"/>
        <v>133</v>
      </c>
      <c r="O1027" s="8"/>
      <c r="P1027" s="8" t="s">
        <v>628</v>
      </c>
      <c r="Q1027" s="14"/>
      <c r="R1027" s="14"/>
      <c r="S1027" s="14"/>
      <c r="T1027" s="14"/>
      <c r="U1027" s="14"/>
      <c r="V1027" s="14"/>
      <c r="W1027" s="14"/>
      <c r="X1027" s="14"/>
      <c r="Y1027" s="14"/>
      <c r="Z1027" s="14"/>
      <c r="AA1027" s="14"/>
    </row>
    <row r="1028" spans="1:27" ht="15.75" hidden="1" customHeight="1" x14ac:dyDescent="0.2">
      <c r="A1028" s="7" t="s">
        <v>61</v>
      </c>
      <c r="B1028" s="7" t="s">
        <v>621</v>
      </c>
      <c r="C1028" s="7" t="s">
        <v>627</v>
      </c>
      <c r="D1028" s="8" t="s">
        <v>629</v>
      </c>
      <c r="E1028" s="9">
        <v>189245</v>
      </c>
      <c r="F1028" s="9">
        <v>1068909</v>
      </c>
      <c r="G1028" s="9">
        <v>9.6581829999999993</v>
      </c>
      <c r="H1028" s="9">
        <v>-83.831467000000004</v>
      </c>
      <c r="I1028" s="7">
        <v>2613</v>
      </c>
      <c r="J1028" s="7" t="s">
        <v>26</v>
      </c>
      <c r="K1028" s="10">
        <v>41129</v>
      </c>
      <c r="L1028" s="10">
        <v>41273</v>
      </c>
      <c r="M1028" s="11">
        <f t="shared" si="64"/>
        <v>145</v>
      </c>
      <c r="N1028" s="11">
        <f t="shared" si="1"/>
        <v>145</v>
      </c>
      <c r="O1028" s="8"/>
      <c r="P1028" s="8" t="s">
        <v>629</v>
      </c>
      <c r="Q1028" s="14"/>
      <c r="R1028" s="14"/>
      <c r="S1028" s="14"/>
      <c r="T1028" s="14"/>
      <c r="U1028" s="14"/>
      <c r="V1028" s="14"/>
      <c r="W1028" s="14"/>
      <c r="X1028" s="14"/>
      <c r="Y1028" s="14"/>
      <c r="Z1028" s="14"/>
      <c r="AA1028" s="14"/>
    </row>
    <row r="1029" spans="1:27" ht="15.75" hidden="1" customHeight="1" x14ac:dyDescent="0.2">
      <c r="A1029" s="7" t="s">
        <v>61</v>
      </c>
      <c r="B1029" s="7" t="s">
        <v>621</v>
      </c>
      <c r="C1029" s="7" t="s">
        <v>627</v>
      </c>
      <c r="D1029" s="8" t="s">
        <v>630</v>
      </c>
      <c r="E1029" s="9">
        <v>189763</v>
      </c>
      <c r="F1029" s="9">
        <v>1069067</v>
      </c>
      <c r="G1029" s="9">
        <v>9.6596499999999992</v>
      </c>
      <c r="H1029" s="9">
        <v>-83.826767000000004</v>
      </c>
      <c r="I1029" s="7">
        <v>2561</v>
      </c>
      <c r="J1029" s="7" t="s">
        <v>26</v>
      </c>
      <c r="K1029" s="10">
        <v>41133</v>
      </c>
      <c r="L1029" s="10">
        <v>41273</v>
      </c>
      <c r="M1029" s="11">
        <f t="shared" si="64"/>
        <v>141</v>
      </c>
      <c r="N1029" s="11">
        <f t="shared" si="1"/>
        <v>141</v>
      </c>
      <c r="O1029" s="8"/>
      <c r="P1029" s="8" t="s">
        <v>630</v>
      </c>
      <c r="Q1029" s="14"/>
      <c r="R1029" s="14"/>
      <c r="S1029" s="14"/>
      <c r="T1029" s="14"/>
      <c r="U1029" s="14"/>
      <c r="V1029" s="14"/>
      <c r="W1029" s="14"/>
      <c r="X1029" s="14"/>
      <c r="Y1029" s="14"/>
      <c r="Z1029" s="14"/>
      <c r="AA1029" s="14"/>
    </row>
    <row r="1030" spans="1:27" ht="15.75" hidden="1" customHeight="1" x14ac:dyDescent="0.2">
      <c r="A1030" s="7" t="s">
        <v>61</v>
      </c>
      <c r="B1030" s="7" t="s">
        <v>621</v>
      </c>
      <c r="C1030" s="7" t="s">
        <v>631</v>
      </c>
      <c r="D1030" s="8" t="s">
        <v>632</v>
      </c>
      <c r="E1030" s="9">
        <v>193660</v>
      </c>
      <c r="F1030" s="9">
        <v>1074411</v>
      </c>
      <c r="G1030" s="9">
        <v>9.7082169999999994</v>
      </c>
      <c r="H1030" s="9">
        <v>-83.791683000000006</v>
      </c>
      <c r="I1030" s="7">
        <v>1619</v>
      </c>
      <c r="J1030" s="7" t="s">
        <v>20</v>
      </c>
      <c r="K1030" s="10">
        <v>41139</v>
      </c>
      <c r="L1030" s="10">
        <v>41273</v>
      </c>
      <c r="M1030" s="11">
        <f t="shared" si="64"/>
        <v>135</v>
      </c>
      <c r="N1030" s="11">
        <f t="shared" si="1"/>
        <v>135</v>
      </c>
      <c r="O1030" s="8"/>
      <c r="P1030" s="8" t="s">
        <v>632</v>
      </c>
      <c r="Q1030" s="14"/>
      <c r="R1030" s="14"/>
      <c r="S1030" s="14"/>
      <c r="T1030" s="14"/>
      <c r="U1030" s="14"/>
      <c r="V1030" s="14"/>
      <c r="W1030" s="14"/>
      <c r="X1030" s="14"/>
      <c r="Y1030" s="14"/>
      <c r="Z1030" s="14"/>
      <c r="AA1030" s="14"/>
    </row>
    <row r="1031" spans="1:27" ht="15.75" hidden="1" customHeight="1" x14ac:dyDescent="0.2">
      <c r="A1031" s="7" t="s">
        <v>61</v>
      </c>
      <c r="B1031" s="7" t="s">
        <v>621</v>
      </c>
      <c r="C1031" s="7" t="s">
        <v>631</v>
      </c>
      <c r="D1031" s="8" t="s">
        <v>633</v>
      </c>
      <c r="E1031" s="9">
        <v>194703</v>
      </c>
      <c r="F1031" s="9">
        <v>1072980</v>
      </c>
      <c r="G1031" s="9">
        <v>9.6953669999999992</v>
      </c>
      <c r="H1031" s="9">
        <v>-83.782083</v>
      </c>
      <c r="I1031" s="7">
        <v>1618</v>
      </c>
      <c r="J1031" s="7" t="s">
        <v>20</v>
      </c>
      <c r="K1031" s="10">
        <v>41140</v>
      </c>
      <c r="L1031" s="10">
        <v>41273</v>
      </c>
      <c r="M1031" s="11">
        <f t="shared" si="64"/>
        <v>134</v>
      </c>
      <c r="N1031" s="11">
        <f t="shared" si="1"/>
        <v>134</v>
      </c>
      <c r="O1031" s="8"/>
      <c r="P1031" s="8" t="s">
        <v>633</v>
      </c>
      <c r="Q1031" s="14"/>
      <c r="R1031" s="14"/>
      <c r="S1031" s="14"/>
      <c r="T1031" s="14"/>
      <c r="U1031" s="14"/>
      <c r="V1031" s="14"/>
      <c r="W1031" s="14"/>
      <c r="X1031" s="14"/>
      <c r="Y1031" s="14"/>
      <c r="Z1031" s="14"/>
      <c r="AA1031" s="14"/>
    </row>
    <row r="1032" spans="1:27" ht="15.75" hidden="1" customHeight="1" x14ac:dyDescent="0.2">
      <c r="A1032" s="7" t="s">
        <v>61</v>
      </c>
      <c r="B1032" s="7" t="s">
        <v>621</v>
      </c>
      <c r="C1032" s="7" t="s">
        <v>631</v>
      </c>
      <c r="D1032" s="8" t="s">
        <v>634</v>
      </c>
      <c r="E1032" s="9">
        <v>194838</v>
      </c>
      <c r="F1032" s="9">
        <v>1075429</v>
      </c>
      <c r="G1032" s="9">
        <v>9.7174999999999994</v>
      </c>
      <c r="H1032" s="9">
        <v>-83.781032999999994</v>
      </c>
      <c r="I1032" s="7">
        <v>1564</v>
      </c>
      <c r="J1032" s="7" t="s">
        <v>20</v>
      </c>
      <c r="K1032" s="10">
        <v>41146</v>
      </c>
      <c r="L1032" s="10">
        <v>41270</v>
      </c>
      <c r="M1032" s="11">
        <f t="shared" si="64"/>
        <v>125</v>
      </c>
      <c r="N1032" s="11">
        <f t="shared" si="1"/>
        <v>125</v>
      </c>
      <c r="O1032" s="8"/>
      <c r="P1032" s="8" t="s">
        <v>634</v>
      </c>
      <c r="Q1032" s="14"/>
      <c r="R1032" s="14"/>
      <c r="S1032" s="14"/>
      <c r="T1032" s="14"/>
      <c r="U1032" s="14"/>
      <c r="V1032" s="14"/>
      <c r="W1032" s="14"/>
      <c r="X1032" s="14"/>
      <c r="Y1032" s="14"/>
      <c r="Z1032" s="14"/>
      <c r="AA1032" s="14"/>
    </row>
    <row r="1033" spans="1:27" ht="15.75" hidden="1" customHeight="1" x14ac:dyDescent="0.2">
      <c r="A1033" s="7" t="s">
        <v>61</v>
      </c>
      <c r="B1033" s="7" t="s">
        <v>621</v>
      </c>
      <c r="C1033" s="7" t="s">
        <v>631</v>
      </c>
      <c r="D1033" s="8" t="s">
        <v>635</v>
      </c>
      <c r="E1033" s="9">
        <v>195024</v>
      </c>
      <c r="F1033" s="9">
        <v>1074245</v>
      </c>
      <c r="G1033" s="9">
        <v>9.7068670000000008</v>
      </c>
      <c r="H1033" s="9">
        <v>-83.779283000000007</v>
      </c>
      <c r="I1033" s="7">
        <v>1506</v>
      </c>
      <c r="J1033" s="7" t="s">
        <v>20</v>
      </c>
      <c r="K1033" s="10">
        <v>41141</v>
      </c>
      <c r="L1033" s="10">
        <v>41270</v>
      </c>
      <c r="M1033" s="11">
        <f t="shared" si="64"/>
        <v>130</v>
      </c>
      <c r="N1033" s="11">
        <f t="shared" si="1"/>
        <v>130</v>
      </c>
      <c r="O1033" s="8"/>
      <c r="P1033" s="8" t="s">
        <v>635</v>
      </c>
      <c r="Q1033" s="14"/>
      <c r="R1033" s="14"/>
      <c r="S1033" s="14"/>
      <c r="T1033" s="14"/>
      <c r="U1033" s="14"/>
      <c r="V1033" s="14"/>
      <c r="W1033" s="14"/>
      <c r="X1033" s="14"/>
      <c r="Y1033" s="14"/>
      <c r="Z1033" s="14"/>
      <c r="AA1033" s="14"/>
    </row>
    <row r="1034" spans="1:27" ht="15.75" hidden="1" customHeight="1" x14ac:dyDescent="0.2">
      <c r="A1034" s="7" t="s">
        <v>52</v>
      </c>
      <c r="B1034" s="7" t="s">
        <v>621</v>
      </c>
      <c r="C1034" s="7" t="s">
        <v>631</v>
      </c>
      <c r="D1034" s="8" t="s">
        <v>636</v>
      </c>
      <c r="E1034" s="9">
        <v>195370</v>
      </c>
      <c r="F1034" s="9">
        <v>1076696</v>
      </c>
      <c r="G1034" s="9">
        <v>9.72898</v>
      </c>
      <c r="H1034" s="9">
        <v>-83.77628</v>
      </c>
      <c r="I1034" s="7">
        <v>1541</v>
      </c>
      <c r="J1034" s="7" t="s">
        <v>20</v>
      </c>
      <c r="K1034" s="10">
        <v>41078</v>
      </c>
      <c r="L1034" s="10">
        <v>41125</v>
      </c>
      <c r="M1034" s="11">
        <f t="shared" si="64"/>
        <v>48</v>
      </c>
      <c r="N1034" s="11">
        <f t="shared" si="1"/>
        <v>48</v>
      </c>
      <c r="O1034" s="8"/>
      <c r="P1034" s="8" t="s">
        <v>636</v>
      </c>
      <c r="Q1034" s="14"/>
      <c r="R1034" s="14"/>
      <c r="S1034" s="14"/>
      <c r="T1034" s="14"/>
      <c r="U1034" s="14"/>
      <c r="V1034" s="14"/>
      <c r="W1034" s="14"/>
      <c r="X1034" s="14"/>
      <c r="Y1034" s="14"/>
      <c r="Z1034" s="14"/>
      <c r="AA1034" s="14"/>
    </row>
    <row r="1035" spans="1:27" ht="15.75" hidden="1" customHeight="1" x14ac:dyDescent="0.2">
      <c r="A1035" s="7" t="s">
        <v>61</v>
      </c>
      <c r="B1035" s="7" t="s">
        <v>621</v>
      </c>
      <c r="C1035" s="7" t="s">
        <v>631</v>
      </c>
      <c r="D1035" s="8" t="s">
        <v>637</v>
      </c>
      <c r="E1035" s="9">
        <v>195880</v>
      </c>
      <c r="F1035" s="9">
        <v>1073078</v>
      </c>
      <c r="G1035" s="9">
        <v>9.6963329999999992</v>
      </c>
      <c r="H1035" s="9">
        <v>-83.771366999999998</v>
      </c>
      <c r="I1035" s="7">
        <v>1632</v>
      </c>
      <c r="J1035" s="7" t="s">
        <v>20</v>
      </c>
      <c r="K1035" s="10">
        <v>41141</v>
      </c>
      <c r="L1035" s="10">
        <v>41273</v>
      </c>
      <c r="M1035" s="11">
        <f t="shared" si="64"/>
        <v>133</v>
      </c>
      <c r="N1035" s="11">
        <f t="shared" si="1"/>
        <v>133</v>
      </c>
      <c r="O1035" s="8"/>
      <c r="P1035" s="8" t="s">
        <v>637</v>
      </c>
      <c r="Q1035" s="14"/>
      <c r="R1035" s="14"/>
      <c r="S1035" s="14"/>
      <c r="T1035" s="14"/>
      <c r="U1035" s="14"/>
      <c r="V1035" s="14"/>
      <c r="W1035" s="14"/>
      <c r="X1035" s="14"/>
      <c r="Y1035" s="14"/>
      <c r="Z1035" s="14"/>
      <c r="AA1035" s="14"/>
    </row>
    <row r="1036" spans="1:27" ht="15.75" hidden="1" customHeight="1" x14ac:dyDescent="0.2">
      <c r="A1036" s="7" t="s">
        <v>61</v>
      </c>
      <c r="B1036" s="7" t="s">
        <v>621</v>
      </c>
      <c r="C1036" s="7" t="s">
        <v>631</v>
      </c>
      <c r="D1036" s="8" t="s">
        <v>638</v>
      </c>
      <c r="E1036" s="9">
        <v>197207</v>
      </c>
      <c r="F1036" s="9">
        <v>1072357</v>
      </c>
      <c r="G1036" s="9">
        <v>9.6899169999999994</v>
      </c>
      <c r="H1036" s="9">
        <v>-83.759232999999995</v>
      </c>
      <c r="I1036" s="7">
        <v>1668</v>
      </c>
      <c r="J1036" s="7" t="s">
        <v>20</v>
      </c>
      <c r="K1036" s="10">
        <v>41125</v>
      </c>
      <c r="L1036" s="10">
        <v>41273</v>
      </c>
      <c r="M1036" s="11">
        <f t="shared" si="64"/>
        <v>149</v>
      </c>
      <c r="N1036" s="11">
        <f t="shared" si="1"/>
        <v>149</v>
      </c>
      <c r="O1036" s="8"/>
      <c r="P1036" s="8" t="s">
        <v>638</v>
      </c>
      <c r="Q1036" s="14"/>
      <c r="R1036" s="14"/>
      <c r="S1036" s="14"/>
      <c r="T1036" s="14"/>
      <c r="U1036" s="14"/>
      <c r="V1036" s="14"/>
      <c r="W1036" s="14"/>
      <c r="X1036" s="14"/>
      <c r="Y1036" s="14"/>
      <c r="Z1036" s="14"/>
      <c r="AA1036" s="14"/>
    </row>
    <row r="1037" spans="1:27" ht="15.75" hidden="1" customHeight="1" x14ac:dyDescent="0.2">
      <c r="A1037" s="7" t="s">
        <v>16</v>
      </c>
      <c r="B1037" s="7" t="s">
        <v>621</v>
      </c>
      <c r="C1037" s="7" t="s">
        <v>622</v>
      </c>
      <c r="D1037" s="8" t="s">
        <v>624</v>
      </c>
      <c r="E1037" s="9">
        <v>185871</v>
      </c>
      <c r="F1037" s="9">
        <v>1073502</v>
      </c>
      <c r="G1037" s="9">
        <v>9.6994170000000004</v>
      </c>
      <c r="H1037" s="9">
        <v>-83.862532999999999</v>
      </c>
      <c r="I1037" s="7">
        <v>2673</v>
      </c>
      <c r="J1037" s="7" t="s">
        <v>329</v>
      </c>
      <c r="K1037" s="10">
        <v>41504</v>
      </c>
      <c r="L1037" s="10">
        <v>41513</v>
      </c>
      <c r="M1037" s="11">
        <f t="shared" si="64"/>
        <v>10</v>
      </c>
      <c r="N1037" s="11">
        <f t="shared" si="1"/>
        <v>10</v>
      </c>
      <c r="O1037" s="8"/>
      <c r="P1037" s="8" t="s">
        <v>639</v>
      </c>
      <c r="Q1037" s="14"/>
      <c r="R1037" s="14"/>
      <c r="S1037" s="14"/>
      <c r="T1037" s="14"/>
      <c r="U1037" s="14"/>
      <c r="V1037" s="14"/>
      <c r="W1037" s="14"/>
      <c r="X1037" s="14"/>
      <c r="Y1037" s="14"/>
      <c r="Z1037" s="14"/>
      <c r="AA1037" s="14"/>
    </row>
    <row r="1038" spans="1:27" ht="15.75" hidden="1" customHeight="1" x14ac:dyDescent="0.2">
      <c r="A1038" s="7" t="s">
        <v>16</v>
      </c>
      <c r="B1038" s="7" t="s">
        <v>621</v>
      </c>
      <c r="C1038" s="7" t="s">
        <v>622</v>
      </c>
      <c r="D1038" s="8" t="s">
        <v>625</v>
      </c>
      <c r="E1038" s="9">
        <v>186331</v>
      </c>
      <c r="F1038" s="9">
        <v>1073102</v>
      </c>
      <c r="G1038" s="9">
        <v>9.6958330000000004</v>
      </c>
      <c r="H1038" s="9">
        <v>-83.858317</v>
      </c>
      <c r="I1038" s="7">
        <v>2673</v>
      </c>
      <c r="J1038" s="7" t="s">
        <v>329</v>
      </c>
      <c r="K1038" s="10">
        <v>41508</v>
      </c>
      <c r="L1038" s="10">
        <v>41525</v>
      </c>
      <c r="M1038" s="11">
        <f t="shared" si="64"/>
        <v>18</v>
      </c>
      <c r="N1038" s="11">
        <f t="shared" si="1"/>
        <v>18</v>
      </c>
      <c r="O1038" s="8"/>
      <c r="P1038" s="8" t="s">
        <v>640</v>
      </c>
      <c r="Q1038" s="14"/>
      <c r="R1038" s="14"/>
      <c r="S1038" s="14"/>
      <c r="T1038" s="14"/>
      <c r="U1038" s="14"/>
      <c r="V1038" s="14"/>
      <c r="W1038" s="14"/>
      <c r="X1038" s="14"/>
      <c r="Y1038" s="14"/>
      <c r="Z1038" s="14"/>
      <c r="AA1038" s="14"/>
    </row>
    <row r="1039" spans="1:27" ht="15.75" hidden="1" customHeight="1" x14ac:dyDescent="0.2">
      <c r="A1039" s="7" t="s">
        <v>16</v>
      </c>
      <c r="B1039" s="7" t="s">
        <v>621</v>
      </c>
      <c r="C1039" s="7" t="s">
        <v>622</v>
      </c>
      <c r="D1039" s="8" t="s">
        <v>626</v>
      </c>
      <c r="E1039" s="9">
        <v>186414</v>
      </c>
      <c r="F1039" s="9">
        <v>1074887</v>
      </c>
      <c r="G1039" s="9">
        <v>9.7119669999999996</v>
      </c>
      <c r="H1039" s="9">
        <v>-83.857699999999994</v>
      </c>
      <c r="I1039" s="7">
        <v>2344</v>
      </c>
      <c r="J1039" s="7" t="s">
        <v>329</v>
      </c>
      <c r="K1039" s="10">
        <v>41781</v>
      </c>
      <c r="L1039" s="10">
        <v>41810</v>
      </c>
      <c r="M1039" s="11">
        <f t="shared" si="64"/>
        <v>30</v>
      </c>
      <c r="N1039" s="11">
        <f t="shared" si="1"/>
        <v>30</v>
      </c>
      <c r="O1039" s="8"/>
      <c r="P1039" s="8" t="s">
        <v>626</v>
      </c>
      <c r="Q1039" s="14"/>
      <c r="R1039" s="14"/>
      <c r="S1039" s="14"/>
      <c r="T1039" s="14"/>
      <c r="U1039" s="14"/>
      <c r="V1039" s="14"/>
      <c r="W1039" s="14"/>
      <c r="X1039" s="14"/>
      <c r="Y1039" s="14"/>
      <c r="Z1039" s="14"/>
      <c r="AA1039" s="14"/>
    </row>
    <row r="1040" spans="1:27" ht="15.75" hidden="1" customHeight="1" x14ac:dyDescent="0.2">
      <c r="A1040" s="7" t="s">
        <v>16</v>
      </c>
      <c r="B1040" s="7" t="s">
        <v>621</v>
      </c>
      <c r="C1040" s="7" t="s">
        <v>641</v>
      </c>
      <c r="D1040" s="8" t="s">
        <v>642</v>
      </c>
      <c r="E1040" s="9">
        <v>194703</v>
      </c>
      <c r="F1040" s="9">
        <v>1072980</v>
      </c>
      <c r="G1040" s="9">
        <v>9.6953669999999992</v>
      </c>
      <c r="H1040" s="9">
        <v>-83.782083</v>
      </c>
      <c r="I1040" s="7">
        <v>1618</v>
      </c>
      <c r="J1040" s="7" t="s">
        <v>26</v>
      </c>
      <c r="K1040" s="10">
        <v>41599</v>
      </c>
      <c r="L1040" s="10">
        <v>41611</v>
      </c>
      <c r="M1040" s="11">
        <f t="shared" si="64"/>
        <v>13</v>
      </c>
      <c r="N1040" s="11">
        <f t="shared" si="1"/>
        <v>13</v>
      </c>
      <c r="O1040" s="8"/>
      <c r="P1040" s="8" t="s">
        <v>642</v>
      </c>
      <c r="Q1040" s="14"/>
      <c r="R1040" s="14"/>
      <c r="S1040" s="14"/>
      <c r="T1040" s="14"/>
      <c r="U1040" s="14"/>
      <c r="V1040" s="14"/>
      <c r="W1040" s="14"/>
      <c r="X1040" s="14"/>
      <c r="Y1040" s="14"/>
      <c r="Z1040" s="14"/>
      <c r="AA1040" s="14"/>
    </row>
    <row r="1041" spans="1:27" ht="15.75" hidden="1" customHeight="1" x14ac:dyDescent="0.2">
      <c r="A1041" s="7" t="s">
        <v>16</v>
      </c>
      <c r="B1041" s="7" t="s">
        <v>621</v>
      </c>
      <c r="C1041" s="7" t="s">
        <v>641</v>
      </c>
      <c r="D1041" s="8" t="s">
        <v>643</v>
      </c>
      <c r="E1041" s="9">
        <v>194838</v>
      </c>
      <c r="F1041" s="9">
        <v>1075429</v>
      </c>
      <c r="G1041" s="9">
        <v>9.7174999999999994</v>
      </c>
      <c r="H1041" s="9">
        <v>-83.781032999999994</v>
      </c>
      <c r="I1041" s="7">
        <v>1564</v>
      </c>
      <c r="J1041" s="7" t="s">
        <v>26</v>
      </c>
      <c r="K1041" s="10">
        <v>41506</v>
      </c>
      <c r="L1041" s="10">
        <v>41586</v>
      </c>
      <c r="M1041" s="11">
        <f t="shared" si="64"/>
        <v>81</v>
      </c>
      <c r="N1041" s="11">
        <f t="shared" si="1"/>
        <v>81</v>
      </c>
      <c r="O1041" s="8"/>
      <c r="P1041" s="8" t="s">
        <v>643</v>
      </c>
      <c r="Q1041" s="14"/>
      <c r="R1041" s="14"/>
      <c r="S1041" s="14"/>
      <c r="T1041" s="14"/>
      <c r="U1041" s="14"/>
      <c r="V1041" s="14"/>
      <c r="W1041" s="14"/>
      <c r="X1041" s="14"/>
      <c r="Y1041" s="14"/>
      <c r="Z1041" s="14"/>
      <c r="AA1041" s="14"/>
    </row>
    <row r="1042" spans="1:27" ht="15.75" hidden="1" customHeight="1" x14ac:dyDescent="0.2">
      <c r="A1042" s="7" t="s">
        <v>16</v>
      </c>
      <c r="B1042" s="7" t="s">
        <v>621</v>
      </c>
      <c r="C1042" s="7" t="s">
        <v>644</v>
      </c>
      <c r="D1042" s="8" t="s">
        <v>635</v>
      </c>
      <c r="E1042" s="9">
        <v>195020</v>
      </c>
      <c r="F1042" s="9">
        <v>1074251</v>
      </c>
      <c r="G1042" s="9">
        <v>9.7068670000000008</v>
      </c>
      <c r="H1042" s="9">
        <v>-83.779283000000007</v>
      </c>
      <c r="I1042" s="7">
        <v>1508</v>
      </c>
      <c r="J1042" s="7" t="s">
        <v>20</v>
      </c>
      <c r="K1042" s="10">
        <v>41504</v>
      </c>
      <c r="L1042" s="10">
        <v>41563</v>
      </c>
      <c r="M1042" s="11">
        <f t="shared" si="64"/>
        <v>60</v>
      </c>
      <c r="N1042" s="11">
        <f t="shared" si="1"/>
        <v>60</v>
      </c>
      <c r="O1042" s="8"/>
      <c r="P1042" s="8" t="s">
        <v>635</v>
      </c>
      <c r="Q1042" s="14"/>
      <c r="R1042" s="14"/>
      <c r="S1042" s="14"/>
      <c r="T1042" s="14"/>
      <c r="U1042" s="14"/>
      <c r="V1042" s="14"/>
      <c r="W1042" s="14"/>
      <c r="X1042" s="14"/>
      <c r="Y1042" s="14"/>
      <c r="Z1042" s="14"/>
      <c r="AA1042" s="14"/>
    </row>
    <row r="1043" spans="1:27" ht="15.75" hidden="1" customHeight="1" x14ac:dyDescent="0.2">
      <c r="A1043" s="7" t="s">
        <v>61</v>
      </c>
      <c r="B1043" s="7" t="s">
        <v>621</v>
      </c>
      <c r="C1043" s="7" t="s">
        <v>631</v>
      </c>
      <c r="D1043" s="8" t="s">
        <v>636</v>
      </c>
      <c r="E1043" s="9">
        <v>195370</v>
      </c>
      <c r="F1043" s="9">
        <v>1076696</v>
      </c>
      <c r="G1043" s="9">
        <v>9.7289829999999995</v>
      </c>
      <c r="H1043" s="9">
        <v>-83.776283000000006</v>
      </c>
      <c r="I1043" s="7">
        <v>1541</v>
      </c>
      <c r="J1043" s="7" t="s">
        <v>20</v>
      </c>
      <c r="K1043" s="10">
        <v>41141</v>
      </c>
      <c r="L1043" s="10">
        <v>41273</v>
      </c>
      <c r="M1043" s="11">
        <f t="shared" si="64"/>
        <v>133</v>
      </c>
      <c r="N1043" s="11">
        <f t="shared" si="1"/>
        <v>133</v>
      </c>
      <c r="O1043" s="8"/>
      <c r="P1043" s="8" t="s">
        <v>636</v>
      </c>
      <c r="Q1043" s="14"/>
      <c r="R1043" s="14"/>
      <c r="S1043" s="14"/>
      <c r="T1043" s="14"/>
      <c r="U1043" s="14"/>
      <c r="V1043" s="14"/>
      <c r="W1043" s="14"/>
      <c r="X1043" s="14"/>
      <c r="Y1043" s="14"/>
      <c r="Z1043" s="14"/>
      <c r="AA1043" s="14"/>
    </row>
    <row r="1044" spans="1:27" ht="15.75" hidden="1" customHeight="1" x14ac:dyDescent="0.2">
      <c r="A1044" s="7" t="s">
        <v>16</v>
      </c>
      <c r="B1044" s="7" t="s">
        <v>621</v>
      </c>
      <c r="C1044" s="7" t="s">
        <v>641</v>
      </c>
      <c r="D1044" s="8" t="s">
        <v>637</v>
      </c>
      <c r="E1044" s="9">
        <v>195880</v>
      </c>
      <c r="F1044" s="9">
        <v>1073078</v>
      </c>
      <c r="G1044" s="9">
        <v>9.6963329999999992</v>
      </c>
      <c r="H1044" s="9">
        <v>-83.771366999999998</v>
      </c>
      <c r="I1044" s="7">
        <v>1632</v>
      </c>
      <c r="J1044" s="7" t="s">
        <v>26</v>
      </c>
      <c r="K1044" s="10">
        <v>41504</v>
      </c>
      <c r="L1044" s="10">
        <v>41626</v>
      </c>
      <c r="M1044" s="11">
        <f t="shared" si="64"/>
        <v>123</v>
      </c>
      <c r="N1044" s="11">
        <f t="shared" si="1"/>
        <v>123</v>
      </c>
      <c r="O1044" s="8"/>
      <c r="P1044" s="8" t="s">
        <v>645</v>
      </c>
      <c r="Q1044" s="14"/>
      <c r="R1044" s="14"/>
      <c r="S1044" s="14"/>
      <c r="T1044" s="14"/>
      <c r="U1044" s="14"/>
      <c r="V1044" s="14"/>
      <c r="W1044" s="14"/>
      <c r="X1044" s="14"/>
      <c r="Y1044" s="14"/>
      <c r="Z1044" s="14"/>
      <c r="AA1044" s="14"/>
    </row>
    <row r="1045" spans="1:27" ht="15.75" hidden="1" customHeight="1" x14ac:dyDescent="0.2">
      <c r="A1045" s="7" t="s">
        <v>16</v>
      </c>
      <c r="B1045" s="7" t="s">
        <v>621</v>
      </c>
      <c r="C1045" s="7" t="s">
        <v>631</v>
      </c>
      <c r="D1045" s="8" t="s">
        <v>638</v>
      </c>
      <c r="E1045" s="9">
        <v>197207</v>
      </c>
      <c r="F1045" s="9">
        <v>1072357</v>
      </c>
      <c r="G1045" s="9">
        <v>9.6899169999999994</v>
      </c>
      <c r="H1045" s="9">
        <v>-83.759232999999995</v>
      </c>
      <c r="I1045" s="7">
        <v>1668</v>
      </c>
      <c r="J1045" s="7" t="s">
        <v>20</v>
      </c>
      <c r="K1045" s="10">
        <v>41492</v>
      </c>
      <c r="L1045" s="10">
        <v>41505</v>
      </c>
      <c r="M1045" s="11">
        <f t="shared" si="64"/>
        <v>14</v>
      </c>
      <c r="N1045" s="11">
        <f t="shared" si="1"/>
        <v>14</v>
      </c>
      <c r="O1045" s="8"/>
      <c r="P1045" s="8" t="s">
        <v>638</v>
      </c>
      <c r="Q1045" s="14"/>
      <c r="R1045" s="14"/>
      <c r="S1045" s="14"/>
      <c r="T1045" s="14"/>
      <c r="U1045" s="14"/>
      <c r="V1045" s="14"/>
      <c r="W1045" s="14"/>
      <c r="X1045" s="14"/>
      <c r="Y1045" s="14"/>
      <c r="Z1045" s="14"/>
      <c r="AA1045" s="14"/>
    </row>
    <row r="1046" spans="1:27" ht="15.75" hidden="1" customHeight="1" x14ac:dyDescent="0.2">
      <c r="A1046" s="7" t="s">
        <v>36</v>
      </c>
      <c r="B1046" s="7" t="s">
        <v>621</v>
      </c>
      <c r="C1046" s="7" t="s">
        <v>622</v>
      </c>
      <c r="D1046" s="8" t="s">
        <v>626</v>
      </c>
      <c r="E1046" s="9">
        <v>186414</v>
      </c>
      <c r="F1046" s="9">
        <v>1074887</v>
      </c>
      <c r="G1046" s="9">
        <v>9.7119669999999996</v>
      </c>
      <c r="H1046" s="9">
        <v>-83.857699999999994</v>
      </c>
      <c r="I1046" s="7">
        <v>2344</v>
      </c>
      <c r="J1046" s="7" t="s">
        <v>329</v>
      </c>
      <c r="K1046" s="10">
        <v>41830</v>
      </c>
      <c r="L1046" s="10">
        <v>41950</v>
      </c>
      <c r="M1046" s="11">
        <f t="shared" si="64"/>
        <v>121</v>
      </c>
      <c r="N1046" s="11">
        <f t="shared" si="1"/>
        <v>121</v>
      </c>
      <c r="O1046" s="8"/>
      <c r="P1046" s="8" t="s">
        <v>626</v>
      </c>
      <c r="Q1046" s="14"/>
      <c r="R1046" s="14"/>
      <c r="S1046" s="14"/>
      <c r="T1046" s="14"/>
      <c r="U1046" s="14"/>
      <c r="V1046" s="14"/>
      <c r="W1046" s="14"/>
      <c r="X1046" s="14"/>
      <c r="Y1046" s="14"/>
      <c r="Z1046" s="14"/>
      <c r="AA1046" s="14"/>
    </row>
    <row r="1047" spans="1:27" ht="15.75" hidden="1" customHeight="1" x14ac:dyDescent="0.2">
      <c r="A1047" s="7" t="s">
        <v>36</v>
      </c>
      <c r="B1047" s="7" t="s">
        <v>621</v>
      </c>
      <c r="C1047" s="7" t="s">
        <v>641</v>
      </c>
      <c r="D1047" s="8" t="s">
        <v>643</v>
      </c>
      <c r="E1047" s="9">
        <v>186500</v>
      </c>
      <c r="F1047" s="9">
        <v>1075997</v>
      </c>
      <c r="G1047" s="9">
        <v>9.7174999999999994</v>
      </c>
      <c r="H1047" s="9">
        <v>-83.781032999999994</v>
      </c>
      <c r="I1047" s="7">
        <v>2090</v>
      </c>
      <c r="J1047" s="7" t="s">
        <v>26</v>
      </c>
      <c r="K1047" s="10">
        <v>41875</v>
      </c>
      <c r="L1047" s="10">
        <v>41991</v>
      </c>
      <c r="M1047" s="11">
        <f t="shared" si="64"/>
        <v>117</v>
      </c>
      <c r="N1047" s="11">
        <f t="shared" si="1"/>
        <v>117</v>
      </c>
      <c r="O1047" s="8"/>
      <c r="P1047" s="8" t="s">
        <v>634</v>
      </c>
      <c r="Q1047" s="14"/>
      <c r="R1047" s="14"/>
      <c r="S1047" s="14"/>
      <c r="T1047" s="14"/>
      <c r="U1047" s="14"/>
      <c r="V1047" s="14"/>
      <c r="W1047" s="14"/>
      <c r="X1047" s="14"/>
      <c r="Y1047" s="14"/>
      <c r="Z1047" s="14"/>
      <c r="AA1047" s="14"/>
    </row>
    <row r="1048" spans="1:27" ht="15.75" hidden="1" customHeight="1" x14ac:dyDescent="0.2">
      <c r="A1048" s="7" t="s">
        <v>36</v>
      </c>
      <c r="B1048" s="7" t="s">
        <v>621</v>
      </c>
      <c r="C1048" s="7" t="s">
        <v>37</v>
      </c>
      <c r="D1048" s="8" t="s">
        <v>637</v>
      </c>
      <c r="E1048" s="9">
        <v>186525</v>
      </c>
      <c r="F1048" s="9">
        <v>1075281</v>
      </c>
      <c r="G1048" s="9">
        <v>9.6963329999999992</v>
      </c>
      <c r="H1048" s="9">
        <v>-83.771366999999998</v>
      </c>
      <c r="I1048" s="7">
        <v>2240</v>
      </c>
      <c r="J1048" s="7" t="s">
        <v>26</v>
      </c>
      <c r="K1048" s="10">
        <v>41942</v>
      </c>
      <c r="L1048" s="10">
        <v>41970</v>
      </c>
      <c r="M1048" s="11">
        <f t="shared" si="64"/>
        <v>29</v>
      </c>
      <c r="N1048" s="11">
        <f t="shared" si="1"/>
        <v>29</v>
      </c>
      <c r="O1048" s="8"/>
      <c r="P1048" s="8" t="s">
        <v>637</v>
      </c>
      <c r="Q1048" s="14"/>
      <c r="R1048" s="14"/>
      <c r="S1048" s="14"/>
      <c r="T1048" s="14"/>
      <c r="U1048" s="14"/>
      <c r="V1048" s="14"/>
      <c r="W1048" s="14"/>
      <c r="X1048" s="14"/>
      <c r="Y1048" s="14"/>
      <c r="Z1048" s="14"/>
      <c r="AA1048" s="14"/>
    </row>
    <row r="1049" spans="1:27" ht="15.75" hidden="1" customHeight="1" x14ac:dyDescent="0.2">
      <c r="A1049" s="7" t="s">
        <v>36</v>
      </c>
      <c r="B1049" s="7" t="s">
        <v>621</v>
      </c>
      <c r="C1049" s="7" t="s">
        <v>641</v>
      </c>
      <c r="D1049" s="8" t="s">
        <v>642</v>
      </c>
      <c r="E1049" s="9">
        <v>186541</v>
      </c>
      <c r="F1049" s="9">
        <v>1076664</v>
      </c>
      <c r="G1049" s="9">
        <v>9.6953669999999992</v>
      </c>
      <c r="H1049" s="9">
        <v>-83.782083</v>
      </c>
      <c r="I1049" s="7">
        <v>2201</v>
      </c>
      <c r="J1049" s="7" t="s">
        <v>26</v>
      </c>
      <c r="K1049" s="10">
        <v>41876</v>
      </c>
      <c r="L1049" s="10">
        <v>41888</v>
      </c>
      <c r="M1049" s="11">
        <f t="shared" si="64"/>
        <v>13</v>
      </c>
      <c r="N1049" s="11">
        <f t="shared" si="1"/>
        <v>13</v>
      </c>
      <c r="O1049" s="8"/>
      <c r="P1049" s="8" t="s">
        <v>633</v>
      </c>
      <c r="Q1049" s="14"/>
      <c r="R1049" s="14"/>
      <c r="S1049" s="14"/>
      <c r="T1049" s="14"/>
      <c r="U1049" s="14"/>
      <c r="V1049" s="14"/>
      <c r="W1049" s="14"/>
      <c r="X1049" s="14"/>
      <c r="Y1049" s="14"/>
      <c r="Z1049" s="14"/>
      <c r="AA1049" s="14"/>
    </row>
    <row r="1050" spans="1:27" ht="15.75" hidden="1" customHeight="1" x14ac:dyDescent="0.2">
      <c r="A1050" s="7" t="s">
        <v>36</v>
      </c>
      <c r="B1050" s="7" t="s">
        <v>621</v>
      </c>
      <c r="C1050" s="7" t="s">
        <v>627</v>
      </c>
      <c r="D1050" s="8" t="s">
        <v>629</v>
      </c>
      <c r="E1050" s="9">
        <v>189245</v>
      </c>
      <c r="F1050" s="9">
        <v>1068909</v>
      </c>
      <c r="G1050" s="9">
        <v>9.6581829999999993</v>
      </c>
      <c r="H1050" s="9">
        <v>-83.831467000000004</v>
      </c>
      <c r="I1050" s="7">
        <v>2613</v>
      </c>
      <c r="J1050" s="7" t="s">
        <v>26</v>
      </c>
      <c r="K1050" s="10">
        <v>41959</v>
      </c>
      <c r="L1050" s="10">
        <v>41972</v>
      </c>
      <c r="M1050" s="11">
        <f t="shared" si="64"/>
        <v>14</v>
      </c>
      <c r="N1050" s="11">
        <f t="shared" si="1"/>
        <v>14</v>
      </c>
      <c r="O1050" s="8"/>
      <c r="P1050" s="8" t="s">
        <v>629</v>
      </c>
      <c r="Q1050" s="14"/>
      <c r="R1050" s="14"/>
      <c r="S1050" s="14"/>
      <c r="T1050" s="14"/>
      <c r="U1050" s="14"/>
      <c r="V1050" s="14"/>
      <c r="W1050" s="14"/>
      <c r="X1050" s="14"/>
      <c r="Y1050" s="14"/>
      <c r="Z1050" s="14"/>
      <c r="AA1050" s="14"/>
    </row>
    <row r="1051" spans="1:27" ht="15.75" hidden="1" customHeight="1" x14ac:dyDescent="0.2">
      <c r="A1051" s="7" t="s">
        <v>36</v>
      </c>
      <c r="B1051" s="7" t="s">
        <v>621</v>
      </c>
      <c r="C1051" s="7" t="s">
        <v>646</v>
      </c>
      <c r="D1051" s="8" t="s">
        <v>647</v>
      </c>
      <c r="E1051" s="9">
        <v>191491</v>
      </c>
      <c r="F1051" s="9">
        <v>1069596</v>
      </c>
      <c r="G1051" s="7">
        <v>9.6645534529999999</v>
      </c>
      <c r="H1051" s="7">
        <v>-83.811070259999994</v>
      </c>
      <c r="I1051" s="7">
        <v>2659</v>
      </c>
      <c r="J1051" s="7" t="s">
        <v>26</v>
      </c>
      <c r="K1051" s="10">
        <v>41842</v>
      </c>
      <c r="L1051" s="10">
        <v>41977</v>
      </c>
      <c r="M1051" s="11">
        <f t="shared" si="64"/>
        <v>136</v>
      </c>
      <c r="N1051" s="11">
        <f t="shared" si="1"/>
        <v>136</v>
      </c>
      <c r="O1051" s="8"/>
      <c r="P1051" s="8" t="s">
        <v>647</v>
      </c>
      <c r="Q1051" s="14"/>
      <c r="R1051" s="14"/>
      <c r="S1051" s="14"/>
      <c r="T1051" s="14"/>
      <c r="U1051" s="14"/>
      <c r="V1051" s="14"/>
      <c r="W1051" s="14"/>
      <c r="X1051" s="14"/>
      <c r="Y1051" s="14"/>
      <c r="Z1051" s="14"/>
      <c r="AA1051" s="14"/>
    </row>
    <row r="1052" spans="1:27" ht="15.75" hidden="1" customHeight="1" x14ac:dyDescent="0.2">
      <c r="A1052" s="7" t="s">
        <v>36</v>
      </c>
      <c r="B1052" s="7" t="s">
        <v>621</v>
      </c>
      <c r="C1052" s="7" t="s">
        <v>646</v>
      </c>
      <c r="D1052" s="8" t="s">
        <v>648</v>
      </c>
      <c r="E1052" s="9">
        <v>192028</v>
      </c>
      <c r="F1052" s="9">
        <v>1070266</v>
      </c>
      <c r="G1052" s="9">
        <v>9.670617</v>
      </c>
      <c r="H1052" s="9">
        <v>-83.806233000000006</v>
      </c>
      <c r="I1052" s="7">
        <v>2592</v>
      </c>
      <c r="J1052" s="7" t="s">
        <v>26</v>
      </c>
      <c r="K1052" s="10">
        <v>41879</v>
      </c>
      <c r="L1052" s="10">
        <v>41995</v>
      </c>
      <c r="M1052" s="11">
        <f t="shared" si="64"/>
        <v>117</v>
      </c>
      <c r="N1052" s="11">
        <f t="shared" si="1"/>
        <v>117</v>
      </c>
      <c r="O1052" s="8"/>
      <c r="P1052" s="8" t="s">
        <v>648</v>
      </c>
      <c r="Q1052" s="14"/>
      <c r="R1052" s="14"/>
      <c r="S1052" s="14"/>
      <c r="T1052" s="14"/>
      <c r="U1052" s="14"/>
      <c r="V1052" s="14"/>
      <c r="W1052" s="14"/>
      <c r="X1052" s="14"/>
      <c r="Y1052" s="14"/>
      <c r="Z1052" s="14"/>
      <c r="AA1052" s="14"/>
    </row>
    <row r="1053" spans="1:27" ht="15.75" hidden="1" customHeight="1" x14ac:dyDescent="0.2">
      <c r="A1053" s="7" t="s">
        <v>36</v>
      </c>
      <c r="B1053" s="7" t="s">
        <v>621</v>
      </c>
      <c r="C1053" s="7" t="s">
        <v>646</v>
      </c>
      <c r="D1053" s="8" t="s">
        <v>649</v>
      </c>
      <c r="E1053" s="9">
        <v>192382</v>
      </c>
      <c r="F1053" s="9">
        <v>1071289</v>
      </c>
      <c r="G1053" s="9">
        <v>9.6799330000000001</v>
      </c>
      <c r="H1053" s="9">
        <v>-83.803083000000001</v>
      </c>
      <c r="I1053" s="7">
        <v>2455</v>
      </c>
      <c r="J1053" s="7" t="s">
        <v>26</v>
      </c>
      <c r="K1053" s="10">
        <v>41882</v>
      </c>
      <c r="L1053" s="10">
        <v>41991</v>
      </c>
      <c r="M1053" s="11">
        <f t="shared" si="64"/>
        <v>110</v>
      </c>
      <c r="N1053" s="11">
        <f t="shared" si="1"/>
        <v>110</v>
      </c>
      <c r="O1053" s="8"/>
      <c r="P1053" s="8" t="s">
        <v>649</v>
      </c>
      <c r="Q1053" s="14"/>
      <c r="R1053" s="14"/>
      <c r="S1053" s="14"/>
      <c r="T1053" s="14"/>
      <c r="U1053" s="14"/>
      <c r="V1053" s="14"/>
      <c r="W1053" s="14"/>
      <c r="X1053" s="14"/>
      <c r="Y1053" s="14"/>
      <c r="Z1053" s="14"/>
      <c r="AA1053" s="14"/>
    </row>
    <row r="1054" spans="1:27" ht="15.75" hidden="1" customHeight="1" x14ac:dyDescent="0.2">
      <c r="A1054" s="7" t="s">
        <v>36</v>
      </c>
      <c r="B1054" s="7" t="s">
        <v>621</v>
      </c>
      <c r="C1054" s="7" t="s">
        <v>646</v>
      </c>
      <c r="D1054" s="8" t="s">
        <v>650</v>
      </c>
      <c r="E1054" s="9">
        <v>192601</v>
      </c>
      <c r="F1054" s="9">
        <v>1071411</v>
      </c>
      <c r="G1054" s="9">
        <v>9.6811330000000009</v>
      </c>
      <c r="H1054" s="9">
        <v>-83.801150000000007</v>
      </c>
      <c r="I1054" s="7">
        <v>2364</v>
      </c>
      <c r="J1054" s="7" t="s">
        <v>26</v>
      </c>
      <c r="K1054" s="10">
        <v>41861</v>
      </c>
      <c r="L1054" s="10">
        <v>41957</v>
      </c>
      <c r="M1054" s="11">
        <f t="shared" si="64"/>
        <v>97</v>
      </c>
      <c r="N1054" s="11">
        <f t="shared" si="1"/>
        <v>97</v>
      </c>
      <c r="O1054" s="8"/>
      <c r="P1054" s="8" t="s">
        <v>650</v>
      </c>
      <c r="Q1054" s="14"/>
      <c r="R1054" s="14"/>
      <c r="S1054" s="14"/>
      <c r="T1054" s="14"/>
      <c r="U1054" s="14"/>
      <c r="V1054" s="14"/>
      <c r="W1054" s="14"/>
      <c r="X1054" s="14"/>
      <c r="Y1054" s="14"/>
      <c r="Z1054" s="14"/>
      <c r="AA1054" s="14"/>
    </row>
    <row r="1055" spans="1:27" ht="15.75" hidden="1" customHeight="1" x14ac:dyDescent="0.2">
      <c r="A1055" s="7" t="s">
        <v>651</v>
      </c>
      <c r="B1055" s="7" t="s">
        <v>621</v>
      </c>
      <c r="C1055" s="7" t="s">
        <v>646</v>
      </c>
      <c r="D1055" s="8" t="s">
        <v>650</v>
      </c>
      <c r="E1055" s="9">
        <v>192601</v>
      </c>
      <c r="F1055" s="9">
        <v>1071411</v>
      </c>
      <c r="G1055" s="9">
        <v>9.6811330000000009</v>
      </c>
      <c r="H1055" s="9">
        <v>-83.801150000000007</v>
      </c>
      <c r="I1055" s="7">
        <v>2364</v>
      </c>
      <c r="J1055" s="7" t="s">
        <v>26</v>
      </c>
      <c r="K1055" s="10">
        <v>42289</v>
      </c>
      <c r="L1055" s="10">
        <v>42401</v>
      </c>
      <c r="M1055" s="11">
        <f t="shared" si="64"/>
        <v>113</v>
      </c>
      <c r="N1055" s="11">
        <f t="shared" si="1"/>
        <v>113</v>
      </c>
      <c r="O1055" s="8" t="s">
        <v>62</v>
      </c>
      <c r="P1055" s="8" t="s">
        <v>650</v>
      </c>
      <c r="Q1055" s="14"/>
      <c r="R1055" s="14"/>
      <c r="S1055" s="14"/>
      <c r="T1055" s="14"/>
      <c r="U1055" s="14"/>
      <c r="V1055" s="14"/>
      <c r="W1055" s="14"/>
      <c r="X1055" s="14"/>
      <c r="Y1055" s="14"/>
      <c r="Z1055" s="14"/>
      <c r="AA1055" s="14"/>
    </row>
    <row r="1056" spans="1:27" ht="15.75" hidden="1" customHeight="1" x14ac:dyDescent="0.2">
      <c r="A1056" s="7" t="s">
        <v>36</v>
      </c>
      <c r="B1056" s="7" t="s">
        <v>621</v>
      </c>
      <c r="C1056" s="7" t="s">
        <v>646</v>
      </c>
      <c r="D1056" s="8" t="s">
        <v>652</v>
      </c>
      <c r="E1056" s="9">
        <v>193271</v>
      </c>
      <c r="F1056" s="9">
        <v>1071909</v>
      </c>
      <c r="G1056" s="9">
        <v>9.6856000000000009</v>
      </c>
      <c r="H1056" s="9">
        <v>-83.794967</v>
      </c>
      <c r="I1056" s="7">
        <v>2008</v>
      </c>
      <c r="J1056" s="7" t="s">
        <v>26</v>
      </c>
      <c r="K1056" s="10">
        <v>41848</v>
      </c>
      <c r="L1056" s="10">
        <v>41876</v>
      </c>
      <c r="M1056" s="11">
        <f t="shared" si="64"/>
        <v>29</v>
      </c>
      <c r="N1056" s="11">
        <f t="shared" si="1"/>
        <v>29</v>
      </c>
      <c r="O1056" s="8"/>
      <c r="P1056" s="8" t="s">
        <v>652</v>
      </c>
      <c r="Q1056" s="14"/>
      <c r="R1056" s="14"/>
      <c r="S1056" s="14"/>
      <c r="T1056" s="14"/>
      <c r="U1056" s="14"/>
      <c r="V1056" s="14"/>
      <c r="W1056" s="14"/>
      <c r="X1056" s="14"/>
      <c r="Y1056" s="14"/>
      <c r="Z1056" s="14"/>
      <c r="AA1056" s="14"/>
    </row>
    <row r="1057" spans="1:27" ht="15.75" hidden="1" customHeight="1" x14ac:dyDescent="0.2">
      <c r="A1057" s="7" t="s">
        <v>36</v>
      </c>
      <c r="B1057" s="7" t="s">
        <v>621</v>
      </c>
      <c r="C1057" s="7" t="s">
        <v>646</v>
      </c>
      <c r="D1057" s="8" t="s">
        <v>653</v>
      </c>
      <c r="E1057" s="9">
        <v>193737</v>
      </c>
      <c r="F1057" s="9">
        <v>1072031</v>
      </c>
      <c r="G1057" s="9">
        <v>9.6867169999999998</v>
      </c>
      <c r="H1057" s="9">
        <v>-83.790817000000004</v>
      </c>
      <c r="I1057" s="7">
        <v>1869</v>
      </c>
      <c r="J1057" s="7" t="s">
        <v>26</v>
      </c>
      <c r="K1057" s="10">
        <v>41897</v>
      </c>
      <c r="L1057" s="10">
        <v>41972</v>
      </c>
      <c r="M1057" s="11">
        <f t="shared" si="64"/>
        <v>76</v>
      </c>
      <c r="N1057" s="11">
        <f t="shared" si="1"/>
        <v>76</v>
      </c>
      <c r="O1057" s="8"/>
      <c r="P1057" s="8" t="s">
        <v>653</v>
      </c>
      <c r="Q1057" s="14"/>
      <c r="R1057" s="14"/>
      <c r="S1057" s="14"/>
      <c r="T1057" s="14"/>
      <c r="U1057" s="14"/>
      <c r="V1057" s="14"/>
      <c r="W1057" s="14"/>
      <c r="X1057" s="14"/>
      <c r="Y1057" s="14"/>
      <c r="Z1057" s="14"/>
      <c r="AA1057" s="14"/>
    </row>
    <row r="1058" spans="1:27" ht="15.75" hidden="1" customHeight="1" x14ac:dyDescent="0.2">
      <c r="A1058" s="7" t="s">
        <v>651</v>
      </c>
      <c r="B1058" s="7" t="s">
        <v>621</v>
      </c>
      <c r="C1058" s="7" t="s">
        <v>646</v>
      </c>
      <c r="D1058" s="8" t="s">
        <v>653</v>
      </c>
      <c r="E1058" s="9">
        <v>193737</v>
      </c>
      <c r="F1058" s="9">
        <v>1072031</v>
      </c>
      <c r="G1058" s="9">
        <v>9.6867169999999998</v>
      </c>
      <c r="H1058" s="9">
        <v>-83.790817000000004</v>
      </c>
      <c r="I1058" s="7">
        <v>1869</v>
      </c>
      <c r="J1058" s="7" t="s">
        <v>26</v>
      </c>
      <c r="K1058" s="10">
        <v>40545</v>
      </c>
      <c r="L1058" s="10">
        <v>40640</v>
      </c>
      <c r="M1058" s="11">
        <f t="shared" si="64"/>
        <v>96</v>
      </c>
      <c r="N1058" s="11">
        <f t="shared" si="1"/>
        <v>96</v>
      </c>
      <c r="O1058" s="8" t="s">
        <v>62</v>
      </c>
      <c r="P1058" s="8" t="s">
        <v>653</v>
      </c>
      <c r="Q1058" s="14"/>
      <c r="R1058" s="14"/>
      <c r="S1058" s="14"/>
      <c r="T1058" s="14"/>
      <c r="U1058" s="14"/>
      <c r="V1058" s="14"/>
      <c r="W1058" s="14"/>
      <c r="X1058" s="14"/>
      <c r="Y1058" s="14"/>
      <c r="Z1058" s="14"/>
      <c r="AA1058" s="14"/>
    </row>
    <row r="1059" spans="1:27" ht="15.75" hidden="1" customHeight="1" x14ac:dyDescent="0.2">
      <c r="A1059" s="7" t="s">
        <v>36</v>
      </c>
      <c r="B1059" s="7" t="s">
        <v>621</v>
      </c>
      <c r="C1059" s="7" t="s">
        <v>644</v>
      </c>
      <c r="D1059" s="8" t="s">
        <v>635</v>
      </c>
      <c r="E1059" s="9">
        <v>195024</v>
      </c>
      <c r="F1059" s="9">
        <v>1074245</v>
      </c>
      <c r="G1059" s="9">
        <v>9.7068670000000008</v>
      </c>
      <c r="H1059" s="9">
        <v>-83.779283000000007</v>
      </c>
      <c r="I1059" s="7">
        <v>1508</v>
      </c>
      <c r="J1059" s="7" t="s">
        <v>20</v>
      </c>
      <c r="K1059" s="10">
        <v>41865</v>
      </c>
      <c r="L1059" s="10">
        <v>41885</v>
      </c>
      <c r="M1059" s="11">
        <f t="shared" si="64"/>
        <v>21</v>
      </c>
      <c r="N1059" s="11">
        <f t="shared" si="1"/>
        <v>21</v>
      </c>
      <c r="O1059" s="8"/>
      <c r="P1059" s="8" t="s">
        <v>635</v>
      </c>
      <c r="Q1059" s="14"/>
      <c r="R1059" s="14"/>
      <c r="S1059" s="14"/>
      <c r="T1059" s="14"/>
      <c r="U1059" s="14"/>
      <c r="V1059" s="14"/>
      <c r="W1059" s="14"/>
      <c r="X1059" s="14"/>
      <c r="Y1059" s="14"/>
      <c r="Z1059" s="14"/>
      <c r="AA1059" s="14"/>
    </row>
    <row r="1060" spans="1:27" ht="15.75" hidden="1" customHeight="1" x14ac:dyDescent="0.2">
      <c r="A1060" s="7" t="s">
        <v>40</v>
      </c>
      <c r="B1060" s="7" t="s">
        <v>621</v>
      </c>
      <c r="C1060" s="7" t="s">
        <v>631</v>
      </c>
      <c r="D1060" s="8" t="s">
        <v>636</v>
      </c>
      <c r="E1060" s="9">
        <v>195370</v>
      </c>
      <c r="F1060" s="9">
        <v>1076696</v>
      </c>
      <c r="G1060" s="9">
        <v>9.7289829999999995</v>
      </c>
      <c r="H1060" s="9">
        <v>-83.776283000000006</v>
      </c>
      <c r="I1060" s="7">
        <v>1541</v>
      </c>
      <c r="J1060" s="7" t="s">
        <v>20</v>
      </c>
      <c r="K1060" s="10">
        <v>41284</v>
      </c>
      <c r="L1060" s="10">
        <v>41429</v>
      </c>
      <c r="M1060" s="11">
        <f t="shared" si="64"/>
        <v>146</v>
      </c>
      <c r="N1060" s="11">
        <f t="shared" si="1"/>
        <v>146</v>
      </c>
      <c r="O1060" s="8"/>
      <c r="P1060" s="8" t="s">
        <v>636</v>
      </c>
      <c r="Q1060" s="14"/>
      <c r="R1060" s="14"/>
      <c r="S1060" s="14"/>
      <c r="T1060" s="14"/>
      <c r="U1060" s="14"/>
      <c r="V1060" s="14"/>
      <c r="W1060" s="14"/>
      <c r="X1060" s="14"/>
      <c r="Y1060" s="14"/>
      <c r="Z1060" s="14"/>
      <c r="AA1060" s="14"/>
    </row>
    <row r="1061" spans="1:27" ht="15.75" hidden="1" customHeight="1" x14ac:dyDescent="0.2">
      <c r="A1061" s="7" t="s">
        <v>165</v>
      </c>
      <c r="B1061" s="7" t="s">
        <v>621</v>
      </c>
      <c r="C1061" s="7" t="s">
        <v>644</v>
      </c>
      <c r="D1061" s="8" t="s">
        <v>634</v>
      </c>
      <c r="E1061" s="9">
        <v>195024</v>
      </c>
      <c r="F1061" s="9">
        <v>1074243</v>
      </c>
      <c r="G1061" s="9">
        <v>9.7067899999999998</v>
      </c>
      <c r="H1061" s="9">
        <v>-83.779250000000005</v>
      </c>
      <c r="I1061" s="7">
        <v>1508</v>
      </c>
      <c r="J1061" s="7"/>
      <c r="K1061" s="7"/>
      <c r="L1061" s="7"/>
      <c r="M1061" s="11">
        <f t="shared" si="64"/>
        <v>0</v>
      </c>
      <c r="N1061" s="11">
        <f t="shared" si="1"/>
        <v>0</v>
      </c>
      <c r="O1061" s="8"/>
      <c r="P1061" s="8" t="s">
        <v>654</v>
      </c>
      <c r="Q1061" s="14"/>
      <c r="R1061" s="14"/>
      <c r="S1061" s="14"/>
      <c r="T1061" s="14"/>
      <c r="U1061" s="14"/>
      <c r="V1061" s="14"/>
      <c r="W1061" s="14"/>
      <c r="X1061" s="14"/>
      <c r="Y1061" s="14"/>
      <c r="Z1061" s="14"/>
      <c r="AA1061" s="14"/>
    </row>
    <row r="1062" spans="1:27" ht="15.75" hidden="1" customHeight="1" x14ac:dyDescent="0.2">
      <c r="A1062" s="7" t="s">
        <v>165</v>
      </c>
      <c r="B1062" s="7" t="s">
        <v>621</v>
      </c>
      <c r="C1062" s="7" t="s">
        <v>644</v>
      </c>
      <c r="D1062" s="8" t="s">
        <v>634</v>
      </c>
      <c r="E1062" s="9">
        <v>195024</v>
      </c>
      <c r="F1062" s="9">
        <v>1074243</v>
      </c>
      <c r="G1062" s="9">
        <v>9.7067899999999998</v>
      </c>
      <c r="H1062" s="9">
        <v>-83.779250000000005</v>
      </c>
      <c r="I1062" s="7">
        <v>1508</v>
      </c>
      <c r="J1062" s="7"/>
      <c r="K1062" s="7"/>
      <c r="L1062" s="7"/>
      <c r="M1062" s="11">
        <f t="shared" si="64"/>
        <v>0</v>
      </c>
      <c r="N1062" s="11">
        <f t="shared" si="1"/>
        <v>0</v>
      </c>
      <c r="O1062" s="8"/>
      <c r="P1062" s="8" t="s">
        <v>655</v>
      </c>
      <c r="Q1062" s="14"/>
      <c r="R1062" s="14"/>
      <c r="S1062" s="14"/>
      <c r="T1062" s="14"/>
      <c r="U1062" s="14"/>
      <c r="V1062" s="14"/>
      <c r="W1062" s="14"/>
      <c r="X1062" s="14"/>
      <c r="Y1062" s="14"/>
      <c r="Z1062" s="14"/>
      <c r="AA1062" s="14"/>
    </row>
    <row r="1063" spans="1:27" ht="15.75" hidden="1" customHeight="1" x14ac:dyDescent="0.2">
      <c r="A1063" s="7" t="s">
        <v>16</v>
      </c>
      <c r="B1063" s="7" t="s">
        <v>621</v>
      </c>
      <c r="C1063" s="7" t="s">
        <v>631</v>
      </c>
      <c r="D1063" s="8" t="s">
        <v>636</v>
      </c>
      <c r="E1063" s="9">
        <v>195370</v>
      </c>
      <c r="F1063" s="9">
        <v>1076696</v>
      </c>
      <c r="G1063" s="9">
        <v>9.7289829999999995</v>
      </c>
      <c r="H1063" s="9">
        <v>-83.776283000000006</v>
      </c>
      <c r="I1063" s="7">
        <v>1541</v>
      </c>
      <c r="J1063" s="7" t="s">
        <v>20</v>
      </c>
      <c r="K1063" s="10">
        <v>41507</v>
      </c>
      <c r="L1063" s="10">
        <v>41582</v>
      </c>
      <c r="M1063" s="11">
        <f t="shared" si="64"/>
        <v>76</v>
      </c>
      <c r="N1063" s="11">
        <f t="shared" si="1"/>
        <v>76</v>
      </c>
      <c r="O1063" s="8"/>
      <c r="P1063" s="8" t="s">
        <v>636</v>
      </c>
      <c r="Q1063" s="14"/>
      <c r="R1063" s="14"/>
      <c r="S1063" s="14"/>
      <c r="T1063" s="14"/>
      <c r="U1063" s="14"/>
      <c r="V1063" s="14"/>
      <c r="W1063" s="14"/>
      <c r="X1063" s="14"/>
      <c r="Y1063" s="14"/>
      <c r="Z1063" s="14"/>
      <c r="AA1063" s="14"/>
    </row>
    <row r="1064" spans="1:27" ht="15.75" hidden="1" customHeight="1" x14ac:dyDescent="0.2">
      <c r="A1064" s="7" t="s">
        <v>42</v>
      </c>
      <c r="B1064" s="7" t="s">
        <v>621</v>
      </c>
      <c r="C1064" s="7" t="s">
        <v>644</v>
      </c>
      <c r="D1064" s="8" t="s">
        <v>636</v>
      </c>
      <c r="E1064" s="9">
        <v>195370</v>
      </c>
      <c r="F1064" s="9">
        <v>1076696</v>
      </c>
      <c r="G1064" s="9">
        <v>9.7289829999999995</v>
      </c>
      <c r="H1064" s="9">
        <v>-83.776283000000006</v>
      </c>
      <c r="I1064" s="7">
        <v>1541</v>
      </c>
      <c r="J1064" s="7" t="s">
        <v>20</v>
      </c>
      <c r="K1064" s="10">
        <v>41640</v>
      </c>
      <c r="L1064" s="10">
        <v>41702</v>
      </c>
      <c r="M1064" s="11">
        <f t="shared" si="64"/>
        <v>63</v>
      </c>
      <c r="N1064" s="11">
        <f t="shared" si="1"/>
        <v>63</v>
      </c>
      <c r="O1064" s="8" t="s">
        <v>62</v>
      </c>
      <c r="P1064" s="8" t="s">
        <v>636</v>
      </c>
      <c r="Q1064" s="14"/>
      <c r="R1064" s="14"/>
      <c r="S1064" s="14"/>
      <c r="T1064" s="14"/>
      <c r="U1064" s="14"/>
      <c r="V1064" s="14"/>
      <c r="W1064" s="14"/>
      <c r="X1064" s="14"/>
      <c r="Y1064" s="14"/>
      <c r="Z1064" s="14"/>
      <c r="AA1064" s="14"/>
    </row>
    <row r="1065" spans="1:27" ht="15.75" hidden="1" customHeight="1" x14ac:dyDescent="0.2">
      <c r="A1065" s="7" t="s">
        <v>36</v>
      </c>
      <c r="B1065" s="7" t="s">
        <v>621</v>
      </c>
      <c r="C1065" s="7" t="s">
        <v>631</v>
      </c>
      <c r="D1065" s="8" t="s">
        <v>636</v>
      </c>
      <c r="E1065" s="9">
        <v>195370</v>
      </c>
      <c r="F1065" s="9">
        <v>1076696</v>
      </c>
      <c r="G1065" s="9">
        <v>9.7289829999999995</v>
      </c>
      <c r="H1065" s="9">
        <v>-83.776283000000006</v>
      </c>
      <c r="I1065" s="7">
        <v>1541</v>
      </c>
      <c r="J1065" s="7" t="s">
        <v>20</v>
      </c>
      <c r="K1065" s="10">
        <v>41868</v>
      </c>
      <c r="L1065" s="10">
        <v>41890</v>
      </c>
      <c r="M1065" s="11">
        <f t="shared" si="64"/>
        <v>23</v>
      </c>
      <c r="N1065" s="11">
        <f t="shared" si="1"/>
        <v>23</v>
      </c>
      <c r="O1065" s="8"/>
      <c r="P1065" s="8" t="s">
        <v>636</v>
      </c>
      <c r="Q1065" s="14"/>
      <c r="R1065" s="14"/>
      <c r="S1065" s="14"/>
      <c r="T1065" s="14"/>
      <c r="U1065" s="14"/>
      <c r="V1065" s="14"/>
      <c r="W1065" s="14"/>
      <c r="X1065" s="14"/>
      <c r="Y1065" s="14"/>
      <c r="Z1065" s="14"/>
      <c r="AA1065" s="14"/>
    </row>
    <row r="1066" spans="1:27" ht="15.75" hidden="1" customHeight="1" x14ac:dyDescent="0.2">
      <c r="A1066" s="7" t="s">
        <v>165</v>
      </c>
      <c r="B1066" s="7" t="s">
        <v>621</v>
      </c>
      <c r="C1066" s="7" t="s">
        <v>644</v>
      </c>
      <c r="D1066" s="8" t="s">
        <v>635</v>
      </c>
      <c r="E1066" s="9">
        <v>197217</v>
      </c>
      <c r="F1066" s="9">
        <v>1072365</v>
      </c>
      <c r="G1066" s="9">
        <v>9.69</v>
      </c>
      <c r="H1066" s="9">
        <v>-83.759140000000002</v>
      </c>
      <c r="I1066" s="7">
        <v>1685</v>
      </c>
      <c r="J1066" s="7"/>
      <c r="K1066" s="7"/>
      <c r="L1066" s="7"/>
      <c r="M1066" s="11">
        <f t="shared" si="64"/>
        <v>0</v>
      </c>
      <c r="N1066" s="11">
        <f t="shared" si="1"/>
        <v>0</v>
      </c>
      <c r="O1066" s="8"/>
      <c r="P1066" s="8" t="s">
        <v>656</v>
      </c>
      <c r="Q1066" s="14"/>
      <c r="R1066" s="14"/>
      <c r="S1066" s="14"/>
      <c r="T1066" s="14"/>
      <c r="U1066" s="14"/>
      <c r="V1066" s="14"/>
      <c r="W1066" s="14"/>
      <c r="X1066" s="14"/>
      <c r="Y1066" s="14"/>
      <c r="Z1066" s="14"/>
      <c r="AA1066" s="14"/>
    </row>
    <row r="1067" spans="1:27" ht="15.75" hidden="1" customHeight="1" x14ac:dyDescent="0.2">
      <c r="A1067" s="7" t="s">
        <v>165</v>
      </c>
      <c r="B1067" s="7" t="s">
        <v>621</v>
      </c>
      <c r="C1067" s="7" t="s">
        <v>644</v>
      </c>
      <c r="D1067" s="8" t="s">
        <v>635</v>
      </c>
      <c r="E1067" s="9">
        <v>197217</v>
      </c>
      <c r="F1067" s="9">
        <v>1072365</v>
      </c>
      <c r="G1067" s="9">
        <v>9.69</v>
      </c>
      <c r="H1067" s="9">
        <v>-83.759140000000002</v>
      </c>
      <c r="I1067" s="7">
        <v>1685</v>
      </c>
      <c r="J1067" s="7"/>
      <c r="K1067" s="10">
        <v>42682</v>
      </c>
      <c r="L1067" s="10">
        <v>42704</v>
      </c>
      <c r="M1067" s="11">
        <f t="shared" si="64"/>
        <v>23</v>
      </c>
      <c r="N1067" s="11">
        <f t="shared" si="1"/>
        <v>23</v>
      </c>
      <c r="O1067" s="8"/>
      <c r="P1067" s="8" t="s">
        <v>657</v>
      </c>
      <c r="Q1067" s="14"/>
      <c r="R1067" s="14"/>
      <c r="S1067" s="14"/>
      <c r="T1067" s="14"/>
      <c r="U1067" s="14"/>
      <c r="V1067" s="14"/>
      <c r="W1067" s="14"/>
      <c r="X1067" s="14"/>
      <c r="Y1067" s="14"/>
      <c r="Z1067" s="14"/>
      <c r="AA1067" s="14"/>
    </row>
    <row r="1068" spans="1:27" ht="15.75" hidden="1" customHeight="1" x14ac:dyDescent="0.2">
      <c r="A1068" s="7" t="s">
        <v>165</v>
      </c>
      <c r="B1068" s="7" t="s">
        <v>621</v>
      </c>
      <c r="C1068" s="7" t="s">
        <v>644</v>
      </c>
      <c r="D1068" s="8" t="s">
        <v>633</v>
      </c>
      <c r="E1068" s="9">
        <v>197753</v>
      </c>
      <c r="F1068" s="9">
        <v>1071996</v>
      </c>
      <c r="G1068" s="9">
        <v>9.6867000000000001</v>
      </c>
      <c r="H1068" s="9">
        <v>-83.754239999999996</v>
      </c>
      <c r="I1068" s="7">
        <v>1667</v>
      </c>
      <c r="J1068" s="7"/>
      <c r="K1068" s="7"/>
      <c r="L1068" s="7"/>
      <c r="M1068" s="11">
        <f t="shared" si="64"/>
        <v>0</v>
      </c>
      <c r="N1068" s="11">
        <f t="shared" si="1"/>
        <v>0</v>
      </c>
      <c r="O1068" s="8"/>
      <c r="P1068" s="8" t="s">
        <v>658</v>
      </c>
      <c r="Q1068" s="14"/>
      <c r="R1068" s="14"/>
      <c r="S1068" s="14"/>
      <c r="T1068" s="14"/>
      <c r="U1068" s="14"/>
      <c r="V1068" s="14"/>
      <c r="W1068" s="14"/>
      <c r="X1068" s="14"/>
      <c r="Y1068" s="14"/>
      <c r="Z1068" s="14"/>
      <c r="AA1068" s="14"/>
    </row>
    <row r="1069" spans="1:27" ht="15.75" hidden="1" customHeight="1" x14ac:dyDescent="0.2">
      <c r="A1069" s="7" t="s">
        <v>165</v>
      </c>
      <c r="B1069" s="7" t="s">
        <v>621</v>
      </c>
      <c r="C1069" s="7" t="s">
        <v>644</v>
      </c>
      <c r="D1069" s="8" t="s">
        <v>633</v>
      </c>
      <c r="E1069" s="9">
        <v>197753</v>
      </c>
      <c r="F1069" s="9">
        <v>1071996</v>
      </c>
      <c r="G1069" s="9">
        <v>9.6867000000000001</v>
      </c>
      <c r="H1069" s="9">
        <v>-83.754239999999996</v>
      </c>
      <c r="I1069" s="7">
        <v>1667</v>
      </c>
      <c r="J1069" s="7"/>
      <c r="K1069" s="7"/>
      <c r="L1069" s="7"/>
      <c r="M1069" s="11">
        <f t="shared" si="64"/>
        <v>0</v>
      </c>
      <c r="N1069" s="11">
        <f t="shared" si="1"/>
        <v>0</v>
      </c>
      <c r="O1069" s="8"/>
      <c r="P1069" s="8" t="s">
        <v>659</v>
      </c>
      <c r="Q1069" s="14"/>
      <c r="R1069" s="14"/>
      <c r="S1069" s="14"/>
      <c r="T1069" s="14"/>
      <c r="U1069" s="14"/>
      <c r="V1069" s="14"/>
      <c r="W1069" s="14"/>
      <c r="X1069" s="14"/>
      <c r="Y1069" s="14"/>
      <c r="Z1069" s="14"/>
      <c r="AA1069" s="14"/>
    </row>
    <row r="1070" spans="1:27" ht="15.75" hidden="1" customHeight="1" x14ac:dyDescent="0.2">
      <c r="A1070" s="7" t="s">
        <v>133</v>
      </c>
      <c r="B1070" s="7" t="s">
        <v>621</v>
      </c>
      <c r="C1070" s="7" t="s">
        <v>631</v>
      </c>
      <c r="D1070" s="8" t="s">
        <v>636</v>
      </c>
      <c r="E1070" s="9">
        <v>195370</v>
      </c>
      <c r="F1070" s="9">
        <v>1076696</v>
      </c>
      <c r="G1070" s="9">
        <v>9.7289829999999995</v>
      </c>
      <c r="H1070" s="9">
        <v>-83.776283000000006</v>
      </c>
      <c r="I1070" s="7">
        <v>1541</v>
      </c>
      <c r="J1070" s="7" t="s">
        <v>20</v>
      </c>
      <c r="K1070" s="10">
        <v>42172</v>
      </c>
      <c r="L1070" s="10">
        <v>42181</v>
      </c>
      <c r="M1070" s="11">
        <f t="shared" si="64"/>
        <v>10</v>
      </c>
      <c r="N1070" s="11">
        <f t="shared" si="1"/>
        <v>10</v>
      </c>
      <c r="O1070" s="8"/>
      <c r="P1070" s="8" t="s">
        <v>636</v>
      </c>
      <c r="Q1070" s="14"/>
      <c r="R1070" s="14"/>
      <c r="S1070" s="14"/>
      <c r="T1070" s="14"/>
      <c r="U1070" s="14"/>
      <c r="V1070" s="14"/>
      <c r="W1070" s="14"/>
      <c r="X1070" s="14"/>
      <c r="Y1070" s="14"/>
      <c r="Z1070" s="14"/>
      <c r="AA1070" s="14"/>
    </row>
    <row r="1071" spans="1:27" ht="15.75" hidden="1" customHeight="1" x14ac:dyDescent="0.2">
      <c r="A1071" s="7" t="s">
        <v>128</v>
      </c>
      <c r="B1071" s="7" t="s">
        <v>621</v>
      </c>
      <c r="C1071" s="7" t="s">
        <v>644</v>
      </c>
      <c r="D1071" s="8" t="s">
        <v>634</v>
      </c>
      <c r="E1071" s="9">
        <v>195024</v>
      </c>
      <c r="F1071" s="9">
        <v>1074242</v>
      </c>
      <c r="G1071" s="9">
        <v>9.7067899999999998</v>
      </c>
      <c r="H1071" s="9">
        <v>-83.779250000000005</v>
      </c>
      <c r="I1071" s="7">
        <v>1508</v>
      </c>
      <c r="J1071" s="7"/>
      <c r="K1071" s="10">
        <v>42951</v>
      </c>
      <c r="L1071" s="10">
        <v>43033</v>
      </c>
      <c r="M1071" s="11">
        <f t="shared" si="64"/>
        <v>83</v>
      </c>
      <c r="N1071" s="11">
        <f t="shared" si="1"/>
        <v>83</v>
      </c>
      <c r="O1071" s="8"/>
      <c r="P1071" s="8" t="s">
        <v>654</v>
      </c>
      <c r="Q1071" s="14"/>
      <c r="R1071" s="14"/>
      <c r="S1071" s="14"/>
      <c r="T1071" s="14"/>
      <c r="U1071" s="14"/>
      <c r="V1071" s="14"/>
      <c r="W1071" s="14"/>
      <c r="X1071" s="14"/>
      <c r="Y1071" s="14"/>
      <c r="Z1071" s="14"/>
      <c r="AA1071" s="14"/>
    </row>
    <row r="1072" spans="1:27" ht="15.75" hidden="1" customHeight="1" x14ac:dyDescent="0.2">
      <c r="A1072" s="7" t="s">
        <v>128</v>
      </c>
      <c r="B1072" s="7" t="s">
        <v>621</v>
      </c>
      <c r="C1072" s="7" t="s">
        <v>644</v>
      </c>
      <c r="D1072" s="8" t="s">
        <v>634</v>
      </c>
      <c r="E1072" s="9">
        <v>195024</v>
      </c>
      <c r="F1072" s="9">
        <v>1074242</v>
      </c>
      <c r="G1072" s="9">
        <v>9.7067899999999998</v>
      </c>
      <c r="H1072" s="9">
        <v>-83.779250000000005</v>
      </c>
      <c r="I1072" s="7">
        <v>1508</v>
      </c>
      <c r="J1072" s="7"/>
      <c r="K1072" s="10">
        <v>42951</v>
      </c>
      <c r="L1072" s="10">
        <v>43033</v>
      </c>
      <c r="M1072" s="11">
        <v>0</v>
      </c>
      <c r="N1072" s="11">
        <f t="shared" si="1"/>
        <v>83</v>
      </c>
      <c r="O1072" s="8" t="s">
        <v>660</v>
      </c>
      <c r="P1072" s="8" t="s">
        <v>655</v>
      </c>
      <c r="Q1072" s="14"/>
      <c r="R1072" s="14"/>
      <c r="S1072" s="14"/>
      <c r="T1072" s="14"/>
      <c r="U1072" s="14"/>
      <c r="V1072" s="14"/>
      <c r="W1072" s="14"/>
      <c r="X1072" s="14"/>
      <c r="Y1072" s="14"/>
      <c r="Z1072" s="14"/>
      <c r="AA1072" s="14"/>
    </row>
    <row r="1073" spans="1:27" ht="15.75" hidden="1" customHeight="1" x14ac:dyDescent="0.2">
      <c r="A1073" s="7" t="s">
        <v>134</v>
      </c>
      <c r="B1073" s="7" t="s">
        <v>621</v>
      </c>
      <c r="C1073" s="7" t="s">
        <v>644</v>
      </c>
      <c r="D1073" s="8" t="s">
        <v>636</v>
      </c>
      <c r="E1073" s="9">
        <v>195370</v>
      </c>
      <c r="F1073" s="9">
        <v>1076694</v>
      </c>
      <c r="G1073" s="9">
        <v>9.7289600000000007</v>
      </c>
      <c r="H1073" s="9">
        <v>-83.776281999999995</v>
      </c>
      <c r="I1073" s="7">
        <v>1541</v>
      </c>
      <c r="J1073" s="7" t="s">
        <v>20</v>
      </c>
      <c r="K1073" s="10">
        <v>42552</v>
      </c>
      <c r="L1073" s="10">
        <v>42568</v>
      </c>
      <c r="M1073" s="11">
        <v>0</v>
      </c>
      <c r="N1073" s="11">
        <f t="shared" si="1"/>
        <v>17</v>
      </c>
      <c r="O1073" s="8" t="s">
        <v>661</v>
      </c>
      <c r="P1073" s="8" t="s">
        <v>662</v>
      </c>
      <c r="Q1073" s="14"/>
      <c r="R1073" s="14"/>
      <c r="S1073" s="14"/>
      <c r="T1073" s="14"/>
      <c r="U1073" s="14"/>
      <c r="V1073" s="14"/>
      <c r="W1073" s="14"/>
      <c r="X1073" s="14"/>
      <c r="Y1073" s="14"/>
      <c r="Z1073" s="14"/>
      <c r="AA1073" s="14"/>
    </row>
    <row r="1074" spans="1:27" ht="15.75" hidden="1" customHeight="1" x14ac:dyDescent="0.2">
      <c r="A1074" s="7" t="s">
        <v>128</v>
      </c>
      <c r="B1074" s="7" t="s">
        <v>621</v>
      </c>
      <c r="C1074" s="7" t="s">
        <v>644</v>
      </c>
      <c r="D1074" s="8" t="s">
        <v>635</v>
      </c>
      <c r="E1074" s="9">
        <v>197217</v>
      </c>
      <c r="F1074" s="9">
        <v>1072366</v>
      </c>
      <c r="G1074" s="9">
        <v>9.69</v>
      </c>
      <c r="H1074" s="9">
        <v>-83.759140000000002</v>
      </c>
      <c r="I1074" s="7">
        <v>1685</v>
      </c>
      <c r="J1074" s="7"/>
      <c r="K1074" s="10">
        <v>42951</v>
      </c>
      <c r="L1074" s="10">
        <v>43033</v>
      </c>
      <c r="M1074" s="11">
        <f>IF(ISBLANK(K1074),0,IF(ISBLANK(L1074),0,L1074-K1074+1))</f>
        <v>83</v>
      </c>
      <c r="N1074" s="11">
        <f t="shared" si="1"/>
        <v>83</v>
      </c>
      <c r="O1074" s="8"/>
      <c r="P1074" s="8" t="s">
        <v>656</v>
      </c>
      <c r="Q1074" s="14"/>
      <c r="R1074" s="14"/>
      <c r="S1074" s="14"/>
      <c r="T1074" s="14"/>
      <c r="U1074" s="14"/>
      <c r="V1074" s="14"/>
      <c r="W1074" s="14"/>
      <c r="X1074" s="14"/>
      <c r="Y1074" s="14"/>
      <c r="Z1074" s="14"/>
      <c r="AA1074" s="14"/>
    </row>
    <row r="1075" spans="1:27" ht="15.75" hidden="1" customHeight="1" x14ac:dyDescent="0.2">
      <c r="A1075" s="7" t="s">
        <v>128</v>
      </c>
      <c r="B1075" s="7" t="s">
        <v>621</v>
      </c>
      <c r="C1075" s="7" t="s">
        <v>644</v>
      </c>
      <c r="D1075" s="8" t="s">
        <v>635</v>
      </c>
      <c r="E1075" s="9">
        <v>197217</v>
      </c>
      <c r="F1075" s="9">
        <v>1072366</v>
      </c>
      <c r="G1075" s="9">
        <v>9.69</v>
      </c>
      <c r="H1075" s="9">
        <v>-83.759140000000002</v>
      </c>
      <c r="I1075" s="7">
        <v>1685</v>
      </c>
      <c r="J1075" s="7"/>
      <c r="K1075" s="10">
        <v>42951</v>
      </c>
      <c r="L1075" s="10">
        <v>43033</v>
      </c>
      <c r="M1075" s="11">
        <v>0</v>
      </c>
      <c r="N1075" s="11">
        <f t="shared" si="1"/>
        <v>83</v>
      </c>
      <c r="O1075" s="8" t="s">
        <v>663</v>
      </c>
      <c r="P1075" s="8" t="s">
        <v>657</v>
      </c>
      <c r="Q1075" s="14"/>
      <c r="R1075" s="14"/>
      <c r="S1075" s="14"/>
      <c r="T1075" s="14"/>
      <c r="U1075" s="14"/>
      <c r="V1075" s="14"/>
      <c r="W1075" s="14"/>
      <c r="X1075" s="14"/>
      <c r="Y1075" s="14"/>
      <c r="Z1075" s="14"/>
      <c r="AA1075" s="14"/>
    </row>
    <row r="1076" spans="1:27" ht="15.75" hidden="1" customHeight="1" x14ac:dyDescent="0.2">
      <c r="A1076" s="7" t="s">
        <v>128</v>
      </c>
      <c r="B1076" s="7" t="s">
        <v>621</v>
      </c>
      <c r="C1076" s="7" t="s">
        <v>644</v>
      </c>
      <c r="D1076" s="8" t="s">
        <v>633</v>
      </c>
      <c r="E1076" s="9">
        <v>197752</v>
      </c>
      <c r="F1076" s="9">
        <v>1071996</v>
      </c>
      <c r="G1076" s="9">
        <v>9.6867000000000001</v>
      </c>
      <c r="H1076" s="9">
        <v>-83.754239999999996</v>
      </c>
      <c r="I1076" s="7">
        <v>1667</v>
      </c>
      <c r="J1076" s="7"/>
      <c r="K1076" s="7"/>
      <c r="L1076" s="7"/>
      <c r="M1076" s="11">
        <f t="shared" ref="M1076:M1093" si="65">IF(ISBLANK(K1076),0,IF(ISBLANK(L1076),0,L1076-K1076+1))</f>
        <v>0</v>
      </c>
      <c r="N1076" s="11">
        <f t="shared" si="1"/>
        <v>0</v>
      </c>
      <c r="O1076" s="8"/>
      <c r="P1076" s="8" t="s">
        <v>658</v>
      </c>
      <c r="Q1076" s="14"/>
      <c r="R1076" s="14"/>
      <c r="S1076" s="14"/>
      <c r="T1076" s="14"/>
      <c r="U1076" s="14"/>
      <c r="V1076" s="14"/>
      <c r="W1076" s="14"/>
      <c r="X1076" s="14"/>
      <c r="Y1076" s="14"/>
      <c r="Z1076" s="14"/>
      <c r="AA1076" s="14"/>
    </row>
    <row r="1077" spans="1:27" ht="15.75" hidden="1" customHeight="1" x14ac:dyDescent="0.2">
      <c r="A1077" s="7" t="s">
        <v>128</v>
      </c>
      <c r="B1077" s="7" t="s">
        <v>621</v>
      </c>
      <c r="C1077" s="7" t="s">
        <v>644</v>
      </c>
      <c r="D1077" s="8" t="s">
        <v>633</v>
      </c>
      <c r="E1077" s="9">
        <v>197752</v>
      </c>
      <c r="F1077" s="9">
        <v>1071996</v>
      </c>
      <c r="G1077" s="9">
        <v>9.6867000000000001</v>
      </c>
      <c r="H1077" s="9">
        <v>-83.754239999999996</v>
      </c>
      <c r="I1077" s="7">
        <v>1667</v>
      </c>
      <c r="J1077" s="7"/>
      <c r="K1077" s="7"/>
      <c r="L1077" s="7"/>
      <c r="M1077" s="11">
        <f t="shared" si="65"/>
        <v>0</v>
      </c>
      <c r="N1077" s="11">
        <f t="shared" si="1"/>
        <v>0</v>
      </c>
      <c r="O1077" s="8"/>
      <c r="P1077" s="8" t="s">
        <v>659</v>
      </c>
      <c r="Q1077" s="14"/>
      <c r="R1077" s="14"/>
      <c r="S1077" s="14"/>
      <c r="T1077" s="14"/>
      <c r="U1077" s="14"/>
      <c r="V1077" s="14"/>
      <c r="W1077" s="14"/>
      <c r="X1077" s="14"/>
      <c r="Y1077" s="14"/>
      <c r="Z1077" s="14"/>
      <c r="AA1077" s="14"/>
    </row>
    <row r="1078" spans="1:27" ht="15.75" hidden="1" customHeight="1" x14ac:dyDescent="0.2">
      <c r="A1078" s="7" t="s">
        <v>40</v>
      </c>
      <c r="B1078" s="7" t="s">
        <v>621</v>
      </c>
      <c r="C1078" s="7" t="s">
        <v>627</v>
      </c>
      <c r="D1078" s="8" t="s">
        <v>630</v>
      </c>
      <c r="E1078" s="9">
        <v>189763</v>
      </c>
      <c r="F1078" s="9">
        <v>1069067</v>
      </c>
      <c r="G1078" s="9">
        <v>9.6596499999999992</v>
      </c>
      <c r="H1078" s="9">
        <v>-83.826767000000004</v>
      </c>
      <c r="I1078" s="7">
        <v>2561</v>
      </c>
      <c r="J1078" s="7" t="s">
        <v>26</v>
      </c>
      <c r="K1078" s="10">
        <v>41445</v>
      </c>
      <c r="L1078" s="10">
        <v>41446</v>
      </c>
      <c r="M1078" s="11">
        <f t="shared" si="65"/>
        <v>2</v>
      </c>
      <c r="N1078" s="11">
        <f t="shared" si="1"/>
        <v>2</v>
      </c>
      <c r="O1078" s="8"/>
      <c r="P1078" s="8" t="s">
        <v>630</v>
      </c>
      <c r="Q1078" s="14"/>
      <c r="R1078" s="14"/>
      <c r="S1078" s="14"/>
      <c r="T1078" s="14"/>
      <c r="U1078" s="14"/>
      <c r="V1078" s="14"/>
      <c r="W1078" s="14"/>
      <c r="X1078" s="14"/>
      <c r="Y1078" s="14"/>
      <c r="Z1078" s="14"/>
      <c r="AA1078" s="14"/>
    </row>
    <row r="1079" spans="1:27" ht="15.75" hidden="1" customHeight="1" x14ac:dyDescent="0.2">
      <c r="A1079" s="7" t="s">
        <v>40</v>
      </c>
      <c r="B1079" s="7" t="s">
        <v>621</v>
      </c>
      <c r="C1079" s="7" t="s">
        <v>631</v>
      </c>
      <c r="D1079" s="8" t="s">
        <v>632</v>
      </c>
      <c r="E1079" s="9">
        <v>193660</v>
      </c>
      <c r="F1079" s="9">
        <v>1074411</v>
      </c>
      <c r="G1079" s="9">
        <v>9.7082169999999994</v>
      </c>
      <c r="H1079" s="9">
        <v>-83.791683000000006</v>
      </c>
      <c r="I1079" s="7">
        <v>1619</v>
      </c>
      <c r="J1079" s="7" t="s">
        <v>20</v>
      </c>
      <c r="K1079" s="10">
        <v>41277</v>
      </c>
      <c r="L1079" s="10">
        <v>41425</v>
      </c>
      <c r="M1079" s="11">
        <f t="shared" si="65"/>
        <v>149</v>
      </c>
      <c r="N1079" s="11">
        <f t="shared" si="1"/>
        <v>149</v>
      </c>
      <c r="O1079" s="8"/>
      <c r="P1079" s="8" t="s">
        <v>632</v>
      </c>
      <c r="Q1079" s="14"/>
      <c r="R1079" s="14"/>
      <c r="S1079" s="14"/>
      <c r="T1079" s="14"/>
      <c r="U1079" s="14"/>
      <c r="V1079" s="14"/>
      <c r="W1079" s="14"/>
      <c r="X1079" s="14"/>
      <c r="Y1079" s="14"/>
      <c r="Z1079" s="14"/>
      <c r="AA1079" s="14"/>
    </row>
    <row r="1080" spans="1:27" ht="15.75" hidden="1" customHeight="1" x14ac:dyDescent="0.2">
      <c r="A1080" s="7" t="s">
        <v>40</v>
      </c>
      <c r="B1080" s="7" t="s">
        <v>621</v>
      </c>
      <c r="C1080" s="7" t="s">
        <v>631</v>
      </c>
      <c r="D1080" s="8" t="s">
        <v>633</v>
      </c>
      <c r="E1080" s="9">
        <v>194703</v>
      </c>
      <c r="F1080" s="9">
        <v>1072980</v>
      </c>
      <c r="G1080" s="9">
        <v>9.6953669999999992</v>
      </c>
      <c r="H1080" s="9">
        <v>-83.782083</v>
      </c>
      <c r="I1080" s="7">
        <v>1618</v>
      </c>
      <c r="J1080" s="7" t="s">
        <v>20</v>
      </c>
      <c r="K1080" s="10">
        <v>41275</v>
      </c>
      <c r="L1080" s="10">
        <v>41429</v>
      </c>
      <c r="M1080" s="11">
        <f t="shared" si="65"/>
        <v>155</v>
      </c>
      <c r="N1080" s="11">
        <f t="shared" si="1"/>
        <v>155</v>
      </c>
      <c r="O1080" s="8"/>
      <c r="P1080" s="8" t="s">
        <v>633</v>
      </c>
      <c r="Q1080" s="14"/>
      <c r="R1080" s="14"/>
      <c r="S1080" s="14"/>
      <c r="T1080" s="14"/>
      <c r="U1080" s="14"/>
      <c r="V1080" s="14"/>
      <c r="W1080" s="14"/>
      <c r="X1080" s="14"/>
      <c r="Y1080" s="14"/>
      <c r="Z1080" s="14"/>
      <c r="AA1080" s="14"/>
    </row>
    <row r="1081" spans="1:27" ht="15.75" hidden="1" customHeight="1" x14ac:dyDescent="0.2">
      <c r="A1081" s="7" t="s">
        <v>40</v>
      </c>
      <c r="B1081" s="7" t="s">
        <v>621</v>
      </c>
      <c r="C1081" s="7" t="s">
        <v>631</v>
      </c>
      <c r="D1081" s="8" t="s">
        <v>634</v>
      </c>
      <c r="E1081" s="9">
        <v>194838</v>
      </c>
      <c r="F1081" s="9">
        <v>1075429</v>
      </c>
      <c r="G1081" s="9">
        <v>9.7174999999999994</v>
      </c>
      <c r="H1081" s="9">
        <v>-83.781032999999994</v>
      </c>
      <c r="I1081" s="7">
        <v>1564</v>
      </c>
      <c r="J1081" s="7" t="s">
        <v>20</v>
      </c>
      <c r="K1081" s="10">
        <v>41296</v>
      </c>
      <c r="L1081" s="10">
        <v>41433</v>
      </c>
      <c r="M1081" s="11">
        <f t="shared" si="65"/>
        <v>138</v>
      </c>
      <c r="N1081" s="11">
        <f t="shared" si="1"/>
        <v>138</v>
      </c>
      <c r="O1081" s="8"/>
      <c r="P1081" s="8" t="s">
        <v>634</v>
      </c>
      <c r="Q1081" s="14"/>
      <c r="R1081" s="14"/>
      <c r="S1081" s="14"/>
      <c r="T1081" s="14"/>
      <c r="U1081" s="14"/>
      <c r="V1081" s="14"/>
      <c r="W1081" s="14"/>
      <c r="X1081" s="14"/>
      <c r="Y1081" s="14"/>
      <c r="Z1081" s="14"/>
      <c r="AA1081" s="14"/>
    </row>
    <row r="1082" spans="1:27" ht="15.75" hidden="1" customHeight="1" x14ac:dyDescent="0.2">
      <c r="A1082" s="7" t="s">
        <v>40</v>
      </c>
      <c r="B1082" s="7" t="s">
        <v>621</v>
      </c>
      <c r="C1082" s="7" t="s">
        <v>631</v>
      </c>
      <c r="D1082" s="8" t="s">
        <v>635</v>
      </c>
      <c r="E1082" s="9">
        <v>195024</v>
      </c>
      <c r="F1082" s="9">
        <v>1074245</v>
      </c>
      <c r="G1082" s="9">
        <v>9.7068670000000008</v>
      </c>
      <c r="H1082" s="9">
        <v>-83.779283000000007</v>
      </c>
      <c r="I1082" s="7">
        <v>1506</v>
      </c>
      <c r="J1082" s="7" t="s">
        <v>20</v>
      </c>
      <c r="K1082" s="10">
        <v>41279</v>
      </c>
      <c r="L1082" s="10">
        <v>41433</v>
      </c>
      <c r="M1082" s="11">
        <f t="shared" si="65"/>
        <v>155</v>
      </c>
      <c r="N1082" s="11">
        <f t="shared" si="1"/>
        <v>155</v>
      </c>
      <c r="O1082" s="8"/>
      <c r="P1082" s="8" t="s">
        <v>635</v>
      </c>
      <c r="Q1082" s="14"/>
      <c r="R1082" s="14"/>
      <c r="S1082" s="14"/>
      <c r="T1082" s="14"/>
      <c r="U1082" s="14"/>
      <c r="V1082" s="14"/>
      <c r="W1082" s="14"/>
      <c r="X1082" s="14"/>
      <c r="Y1082" s="14"/>
      <c r="Z1082" s="14"/>
      <c r="AA1082" s="14"/>
    </row>
    <row r="1083" spans="1:27" ht="15.75" hidden="1" customHeight="1" x14ac:dyDescent="0.2">
      <c r="A1083" s="7" t="s">
        <v>134</v>
      </c>
      <c r="B1083" s="7" t="s">
        <v>621</v>
      </c>
      <c r="C1083" s="7" t="s">
        <v>644</v>
      </c>
      <c r="D1083" s="8" t="s">
        <v>636</v>
      </c>
      <c r="E1083" s="9">
        <v>195370</v>
      </c>
      <c r="F1083" s="9">
        <v>1076694</v>
      </c>
      <c r="G1083" s="9">
        <v>9.7289600000000007</v>
      </c>
      <c r="H1083" s="9">
        <v>-83.776281999999995</v>
      </c>
      <c r="I1083" s="7">
        <v>1541</v>
      </c>
      <c r="J1083" s="7" t="s">
        <v>20</v>
      </c>
      <c r="K1083" s="10">
        <v>42552</v>
      </c>
      <c r="L1083" s="10">
        <v>42630</v>
      </c>
      <c r="M1083" s="11">
        <f t="shared" si="65"/>
        <v>79</v>
      </c>
      <c r="N1083" s="11">
        <f t="shared" si="1"/>
        <v>79</v>
      </c>
      <c r="O1083" s="8" t="s">
        <v>664</v>
      </c>
      <c r="P1083" s="8" t="s">
        <v>665</v>
      </c>
      <c r="Q1083" s="14"/>
      <c r="R1083" s="14"/>
      <c r="S1083" s="14"/>
      <c r="T1083" s="14"/>
      <c r="U1083" s="14"/>
      <c r="V1083" s="14"/>
      <c r="W1083" s="14"/>
      <c r="X1083" s="14"/>
      <c r="Y1083" s="14"/>
      <c r="Z1083" s="14"/>
      <c r="AA1083" s="14"/>
    </row>
    <row r="1084" spans="1:27" ht="15.75" hidden="1" customHeight="1" x14ac:dyDescent="0.2">
      <c r="A1084" s="7" t="s">
        <v>40</v>
      </c>
      <c r="B1084" s="7" t="s">
        <v>621</v>
      </c>
      <c r="C1084" s="7" t="s">
        <v>631</v>
      </c>
      <c r="D1084" s="8" t="s">
        <v>637</v>
      </c>
      <c r="E1084" s="9">
        <v>195880</v>
      </c>
      <c r="F1084" s="9">
        <v>1073078</v>
      </c>
      <c r="G1084" s="9">
        <v>9.6963329999999992</v>
      </c>
      <c r="H1084" s="9">
        <v>-83.771366999999998</v>
      </c>
      <c r="I1084" s="7">
        <v>1632</v>
      </c>
      <c r="J1084" s="7" t="s">
        <v>20</v>
      </c>
      <c r="K1084" s="10">
        <v>41278</v>
      </c>
      <c r="L1084" s="10">
        <v>41433</v>
      </c>
      <c r="M1084" s="11">
        <f t="shared" si="65"/>
        <v>156</v>
      </c>
      <c r="N1084" s="11">
        <f t="shared" si="1"/>
        <v>156</v>
      </c>
      <c r="O1084" s="8"/>
      <c r="P1084" s="8" t="s">
        <v>637</v>
      </c>
      <c r="Q1084" s="14"/>
      <c r="R1084" s="14"/>
      <c r="S1084" s="14"/>
      <c r="T1084" s="14"/>
      <c r="U1084" s="14"/>
      <c r="V1084" s="14"/>
      <c r="W1084" s="14"/>
      <c r="X1084" s="14"/>
      <c r="Y1084" s="14"/>
      <c r="Z1084" s="14"/>
      <c r="AA1084" s="14"/>
    </row>
    <row r="1085" spans="1:27" ht="15.75" hidden="1" customHeight="1" x14ac:dyDescent="0.2">
      <c r="A1085" s="7" t="s">
        <v>40</v>
      </c>
      <c r="B1085" s="7" t="s">
        <v>621</v>
      </c>
      <c r="C1085" s="7" t="s">
        <v>631</v>
      </c>
      <c r="D1085" s="8" t="s">
        <v>638</v>
      </c>
      <c r="E1085" s="9">
        <v>197207</v>
      </c>
      <c r="F1085" s="9">
        <v>1072357</v>
      </c>
      <c r="G1085" s="9">
        <v>9.6899169999999994</v>
      </c>
      <c r="H1085" s="9">
        <v>-83.759232999999995</v>
      </c>
      <c r="I1085" s="7">
        <v>1668</v>
      </c>
      <c r="J1085" s="7" t="s">
        <v>20</v>
      </c>
      <c r="K1085" s="10">
        <v>41275</v>
      </c>
      <c r="L1085" s="10">
        <v>41428</v>
      </c>
      <c r="M1085" s="11">
        <f t="shared" si="65"/>
        <v>154</v>
      </c>
      <c r="N1085" s="11">
        <f t="shared" si="1"/>
        <v>154</v>
      </c>
      <c r="O1085" s="8"/>
      <c r="P1085" s="8" t="s">
        <v>638</v>
      </c>
      <c r="Q1085" s="14"/>
      <c r="R1085" s="14"/>
      <c r="S1085" s="14"/>
      <c r="T1085" s="14"/>
      <c r="U1085" s="14"/>
      <c r="V1085" s="14"/>
      <c r="W1085" s="14"/>
      <c r="X1085" s="14"/>
      <c r="Y1085" s="14"/>
      <c r="Z1085" s="14"/>
      <c r="AA1085" s="14"/>
    </row>
    <row r="1086" spans="1:27" ht="15.75" hidden="1" customHeight="1" x14ac:dyDescent="0.2">
      <c r="A1086" s="7" t="s">
        <v>47</v>
      </c>
      <c r="B1086" s="7" t="s">
        <v>621</v>
      </c>
      <c r="C1086" s="7" t="s">
        <v>622</v>
      </c>
      <c r="D1086" s="8" t="s">
        <v>624</v>
      </c>
      <c r="E1086" s="9">
        <v>185871</v>
      </c>
      <c r="F1086" s="9">
        <v>1073502</v>
      </c>
      <c r="G1086" s="9">
        <v>9.6994170000000004</v>
      </c>
      <c r="H1086" s="9">
        <v>-83.862532999999999</v>
      </c>
      <c r="I1086" s="7">
        <v>2673</v>
      </c>
      <c r="J1086" s="7" t="s">
        <v>329</v>
      </c>
      <c r="K1086" s="10">
        <v>41960</v>
      </c>
      <c r="L1086" s="10">
        <v>42080</v>
      </c>
      <c r="M1086" s="11">
        <f t="shared" si="65"/>
        <v>121</v>
      </c>
      <c r="N1086" s="11">
        <f t="shared" si="1"/>
        <v>121</v>
      </c>
      <c r="O1086" s="8"/>
      <c r="P1086" s="8" t="s">
        <v>624</v>
      </c>
      <c r="Q1086" s="14"/>
      <c r="R1086" s="14"/>
      <c r="S1086" s="14"/>
      <c r="T1086" s="14"/>
      <c r="U1086" s="14"/>
      <c r="V1086" s="14"/>
      <c r="W1086" s="14"/>
      <c r="X1086" s="14"/>
      <c r="Y1086" s="14"/>
      <c r="Z1086" s="14"/>
      <c r="AA1086" s="14"/>
    </row>
    <row r="1087" spans="1:27" ht="15.75" hidden="1" customHeight="1" x14ac:dyDescent="0.2">
      <c r="A1087" s="7" t="s">
        <v>47</v>
      </c>
      <c r="B1087" s="7" t="s">
        <v>621</v>
      </c>
      <c r="C1087" s="7" t="s">
        <v>622</v>
      </c>
      <c r="D1087" s="8" t="s">
        <v>625</v>
      </c>
      <c r="E1087" s="9">
        <v>186331</v>
      </c>
      <c r="F1087" s="9">
        <v>1073102</v>
      </c>
      <c r="G1087" s="9">
        <v>9.6958330000000004</v>
      </c>
      <c r="H1087" s="9">
        <v>-83.858317</v>
      </c>
      <c r="I1087" s="7">
        <v>2673</v>
      </c>
      <c r="J1087" s="7" t="s">
        <v>329</v>
      </c>
      <c r="K1087" s="10">
        <v>41758</v>
      </c>
      <c r="L1087" s="10">
        <v>42151</v>
      </c>
      <c r="M1087" s="11">
        <f t="shared" si="65"/>
        <v>394</v>
      </c>
      <c r="N1087" s="11">
        <f t="shared" si="1"/>
        <v>394</v>
      </c>
      <c r="O1087" s="8"/>
      <c r="P1087" s="8" t="s">
        <v>625</v>
      </c>
      <c r="Q1087" s="14"/>
      <c r="R1087" s="14"/>
      <c r="S1087" s="14"/>
      <c r="T1087" s="14"/>
      <c r="U1087" s="14"/>
      <c r="V1087" s="14"/>
      <c r="W1087" s="14"/>
      <c r="X1087" s="14"/>
      <c r="Y1087" s="14"/>
      <c r="Z1087" s="14"/>
      <c r="AA1087" s="14"/>
    </row>
    <row r="1088" spans="1:27" ht="15.75" hidden="1" customHeight="1" x14ac:dyDescent="0.2">
      <c r="A1088" s="7" t="s">
        <v>47</v>
      </c>
      <c r="B1088" s="7" t="s">
        <v>621</v>
      </c>
      <c r="C1088" s="7" t="s">
        <v>622</v>
      </c>
      <c r="D1088" s="8" t="s">
        <v>626</v>
      </c>
      <c r="E1088" s="9">
        <v>186414</v>
      </c>
      <c r="F1088" s="9">
        <v>1074887</v>
      </c>
      <c r="G1088" s="9">
        <v>9.7119669999999996</v>
      </c>
      <c r="H1088" s="9">
        <v>-83.857699999999994</v>
      </c>
      <c r="I1088" s="7">
        <v>2344</v>
      </c>
      <c r="J1088" s="7" t="s">
        <v>329</v>
      </c>
      <c r="K1088" s="10">
        <v>41989</v>
      </c>
      <c r="L1088" s="10">
        <v>42138</v>
      </c>
      <c r="M1088" s="11">
        <f t="shared" si="65"/>
        <v>150</v>
      </c>
      <c r="N1088" s="11">
        <f t="shared" si="1"/>
        <v>150</v>
      </c>
      <c r="O1088" s="8"/>
      <c r="P1088" s="8" t="s">
        <v>626</v>
      </c>
      <c r="Q1088" s="14"/>
      <c r="R1088" s="14"/>
      <c r="S1088" s="14"/>
      <c r="T1088" s="14"/>
      <c r="U1088" s="14"/>
      <c r="V1088" s="14"/>
      <c r="W1088" s="14"/>
      <c r="X1088" s="14"/>
      <c r="Y1088" s="14"/>
      <c r="Z1088" s="14"/>
      <c r="AA1088" s="14"/>
    </row>
    <row r="1089" spans="1:27" ht="15.75" hidden="1" customHeight="1" x14ac:dyDescent="0.2">
      <c r="A1089" s="7" t="s">
        <v>47</v>
      </c>
      <c r="B1089" s="7" t="s">
        <v>621</v>
      </c>
      <c r="C1089" s="7" t="s">
        <v>641</v>
      </c>
      <c r="D1089" s="8" t="s">
        <v>643</v>
      </c>
      <c r="E1089" s="9">
        <v>186500</v>
      </c>
      <c r="F1089" s="9">
        <v>1075997</v>
      </c>
      <c r="G1089" s="9">
        <v>9.7174999999999994</v>
      </c>
      <c r="H1089" s="9">
        <v>-83.781032999999994</v>
      </c>
      <c r="I1089" s="7">
        <v>2090</v>
      </c>
      <c r="J1089" s="7" t="s">
        <v>26</v>
      </c>
      <c r="K1089" s="10">
        <v>41984</v>
      </c>
      <c r="L1089" s="10">
        <v>42154</v>
      </c>
      <c r="M1089" s="11">
        <f t="shared" si="65"/>
        <v>171</v>
      </c>
      <c r="N1089" s="11">
        <f t="shared" si="1"/>
        <v>171</v>
      </c>
      <c r="O1089" s="8"/>
      <c r="P1089" s="8" t="s">
        <v>634</v>
      </c>
      <c r="Q1089" s="14"/>
      <c r="R1089" s="14"/>
      <c r="S1089" s="14"/>
      <c r="T1089" s="14"/>
      <c r="U1089" s="14"/>
      <c r="V1089" s="14"/>
      <c r="W1089" s="14"/>
      <c r="X1089" s="14"/>
      <c r="Y1089" s="14"/>
      <c r="Z1089" s="14"/>
      <c r="AA1089" s="14"/>
    </row>
    <row r="1090" spans="1:27" ht="15.75" hidden="1" customHeight="1" x14ac:dyDescent="0.2">
      <c r="A1090" s="7" t="s">
        <v>47</v>
      </c>
      <c r="B1090" s="7" t="s">
        <v>621</v>
      </c>
      <c r="C1090" s="7" t="s">
        <v>641</v>
      </c>
      <c r="D1090" s="8" t="s">
        <v>637</v>
      </c>
      <c r="E1090" s="9">
        <v>186525</v>
      </c>
      <c r="F1090" s="9">
        <v>1075281</v>
      </c>
      <c r="G1090" s="9">
        <v>9.7119669999999996</v>
      </c>
      <c r="H1090" s="9">
        <v>-83.857699999999994</v>
      </c>
      <c r="I1090" s="7">
        <v>2240</v>
      </c>
      <c r="J1090" s="7" t="s">
        <v>26</v>
      </c>
      <c r="K1090" s="10">
        <v>41988</v>
      </c>
      <c r="L1090" s="10">
        <v>42143</v>
      </c>
      <c r="M1090" s="11">
        <f t="shared" si="65"/>
        <v>156</v>
      </c>
      <c r="N1090" s="11">
        <f t="shared" si="1"/>
        <v>156</v>
      </c>
      <c r="O1090" s="8"/>
      <c r="P1090" s="8" t="s">
        <v>637</v>
      </c>
      <c r="Q1090" s="14"/>
      <c r="R1090" s="14"/>
      <c r="S1090" s="14"/>
      <c r="T1090" s="14"/>
      <c r="U1090" s="14"/>
      <c r="V1090" s="14"/>
      <c r="W1090" s="14"/>
      <c r="X1090" s="14"/>
      <c r="Y1090" s="14"/>
      <c r="Z1090" s="14"/>
      <c r="AA1090" s="14"/>
    </row>
    <row r="1091" spans="1:27" ht="15.75" hidden="1" customHeight="1" x14ac:dyDescent="0.2">
      <c r="A1091" s="7" t="s">
        <v>47</v>
      </c>
      <c r="B1091" s="7" t="s">
        <v>621</v>
      </c>
      <c r="C1091" s="7" t="s">
        <v>641</v>
      </c>
      <c r="D1091" s="8" t="s">
        <v>642</v>
      </c>
      <c r="E1091" s="9">
        <v>186541</v>
      </c>
      <c r="F1091" s="9">
        <v>1076664</v>
      </c>
      <c r="G1091" s="9">
        <v>9.6953669999999992</v>
      </c>
      <c r="H1091" s="9">
        <v>-83.782083</v>
      </c>
      <c r="I1091" s="7">
        <v>2201</v>
      </c>
      <c r="J1091" s="7" t="s">
        <v>26</v>
      </c>
      <c r="K1091" s="10">
        <v>41982</v>
      </c>
      <c r="L1091" s="10">
        <v>42166</v>
      </c>
      <c r="M1091" s="11">
        <f t="shared" si="65"/>
        <v>185</v>
      </c>
      <c r="N1091" s="11">
        <f t="shared" si="1"/>
        <v>185</v>
      </c>
      <c r="O1091" s="8"/>
      <c r="P1091" s="8" t="s">
        <v>633</v>
      </c>
      <c r="Q1091" s="7"/>
      <c r="R1091" s="7"/>
      <c r="S1091" s="7"/>
      <c r="T1091" s="7"/>
      <c r="U1091" s="7"/>
      <c r="V1091" s="7"/>
      <c r="W1091" s="7"/>
      <c r="X1091" s="7"/>
      <c r="Y1091" s="7"/>
      <c r="Z1091" s="7"/>
      <c r="AA1091" s="7"/>
    </row>
    <row r="1092" spans="1:27" ht="15.75" hidden="1" customHeight="1" x14ac:dyDescent="0.2">
      <c r="A1092" s="7" t="s">
        <v>47</v>
      </c>
      <c r="B1092" s="7" t="s">
        <v>621</v>
      </c>
      <c r="C1092" s="7" t="s">
        <v>631</v>
      </c>
      <c r="D1092" s="8" t="s">
        <v>632</v>
      </c>
      <c r="E1092" s="9">
        <v>193660</v>
      </c>
      <c r="F1092" s="9">
        <v>1074411</v>
      </c>
      <c r="G1092" s="9">
        <v>9.7082169999999994</v>
      </c>
      <c r="H1092" s="9">
        <v>-83.791683000000006</v>
      </c>
      <c r="I1092" s="7">
        <v>1619</v>
      </c>
      <c r="J1092" s="7" t="s">
        <v>20</v>
      </c>
      <c r="K1092" s="10">
        <v>42026</v>
      </c>
      <c r="L1092" s="10">
        <v>42058</v>
      </c>
      <c r="M1092" s="11">
        <f t="shared" si="65"/>
        <v>33</v>
      </c>
      <c r="N1092" s="11">
        <f t="shared" si="1"/>
        <v>33</v>
      </c>
      <c r="O1092" s="8"/>
      <c r="P1092" s="8" t="s">
        <v>632</v>
      </c>
      <c r="Q1092" s="7"/>
      <c r="R1092" s="7"/>
      <c r="S1092" s="7"/>
      <c r="T1092" s="7"/>
      <c r="U1092" s="7"/>
      <c r="V1092" s="7"/>
      <c r="W1092" s="7"/>
      <c r="X1092" s="7"/>
      <c r="Y1092" s="7"/>
      <c r="Z1092" s="7"/>
      <c r="AA1092" s="7"/>
    </row>
    <row r="1093" spans="1:27" ht="15.75" hidden="1" customHeight="1" x14ac:dyDescent="0.2">
      <c r="A1093" s="7" t="s">
        <v>132</v>
      </c>
      <c r="B1093" s="7" t="s">
        <v>621</v>
      </c>
      <c r="C1093" s="7" t="s">
        <v>644</v>
      </c>
      <c r="D1093" s="8" t="s">
        <v>634</v>
      </c>
      <c r="E1093" s="9">
        <v>195024</v>
      </c>
      <c r="F1093" s="9">
        <v>1074242</v>
      </c>
      <c r="G1093" s="9">
        <v>9.7067899999999998</v>
      </c>
      <c r="H1093" s="9">
        <v>-83.779250000000005</v>
      </c>
      <c r="I1093" s="7">
        <v>1508</v>
      </c>
      <c r="J1093" s="7"/>
      <c r="K1093" s="10">
        <v>43033</v>
      </c>
      <c r="L1093" s="10">
        <v>43205</v>
      </c>
      <c r="M1093" s="11">
        <f t="shared" si="65"/>
        <v>173</v>
      </c>
      <c r="N1093" s="11">
        <f t="shared" si="1"/>
        <v>173</v>
      </c>
      <c r="O1093" s="8" t="s">
        <v>666</v>
      </c>
      <c r="P1093" s="8" t="s">
        <v>655</v>
      </c>
      <c r="Q1093" s="7"/>
      <c r="R1093" s="7"/>
      <c r="S1093" s="7"/>
      <c r="T1093" s="7"/>
      <c r="U1093" s="7"/>
      <c r="V1093" s="7"/>
      <c r="W1093" s="7"/>
      <c r="X1093" s="7"/>
      <c r="Y1093" s="7"/>
      <c r="Z1093" s="7"/>
      <c r="AA1093" s="7"/>
    </row>
    <row r="1094" spans="1:27" ht="15.75" hidden="1" customHeight="1" x14ac:dyDescent="0.2">
      <c r="A1094" s="7" t="s">
        <v>132</v>
      </c>
      <c r="B1094" s="7" t="s">
        <v>621</v>
      </c>
      <c r="C1094" s="7" t="s">
        <v>644</v>
      </c>
      <c r="D1094" s="8" t="s">
        <v>635</v>
      </c>
      <c r="E1094" s="9">
        <v>197217</v>
      </c>
      <c r="F1094" s="9">
        <v>1072366</v>
      </c>
      <c r="G1094" s="9">
        <v>9.69</v>
      </c>
      <c r="H1094" s="9">
        <v>-83.759140000000002</v>
      </c>
      <c r="I1094" s="7">
        <v>1685</v>
      </c>
      <c r="J1094" s="7"/>
      <c r="K1094" s="10">
        <v>43023</v>
      </c>
      <c r="L1094" s="10">
        <v>43203</v>
      </c>
      <c r="M1094" s="11">
        <v>173</v>
      </c>
      <c r="N1094" s="11">
        <f t="shared" si="1"/>
        <v>181</v>
      </c>
      <c r="O1094" s="8"/>
      <c r="P1094" s="8" t="s">
        <v>656</v>
      </c>
      <c r="Q1094" s="7"/>
      <c r="R1094" s="7"/>
      <c r="S1094" s="7"/>
      <c r="T1094" s="7"/>
      <c r="U1094" s="7"/>
      <c r="V1094" s="7"/>
      <c r="W1094" s="7"/>
      <c r="X1094" s="7"/>
      <c r="Y1094" s="7"/>
      <c r="Z1094" s="7"/>
      <c r="AA1094" s="7"/>
    </row>
    <row r="1095" spans="1:27" ht="15.75" hidden="1" customHeight="1" x14ac:dyDescent="0.2">
      <c r="A1095" s="7" t="s">
        <v>132</v>
      </c>
      <c r="B1095" s="7" t="s">
        <v>621</v>
      </c>
      <c r="C1095" s="7" t="s">
        <v>644</v>
      </c>
      <c r="D1095" s="8" t="s">
        <v>635</v>
      </c>
      <c r="E1095" s="9">
        <v>197217</v>
      </c>
      <c r="F1095" s="9">
        <v>1072366</v>
      </c>
      <c r="G1095" s="9">
        <v>9.69</v>
      </c>
      <c r="H1095" s="9">
        <v>-83.759140000000002</v>
      </c>
      <c r="I1095" s="7">
        <v>1685</v>
      </c>
      <c r="J1095" s="7"/>
      <c r="K1095" s="10">
        <v>43034</v>
      </c>
      <c r="L1095" s="10">
        <v>43203</v>
      </c>
      <c r="M1095" s="11">
        <v>0</v>
      </c>
      <c r="N1095" s="11">
        <f t="shared" si="1"/>
        <v>170</v>
      </c>
      <c r="O1095" s="8" t="s">
        <v>667</v>
      </c>
      <c r="P1095" s="8" t="s">
        <v>657</v>
      </c>
      <c r="Q1095" s="7"/>
      <c r="R1095" s="7"/>
      <c r="S1095" s="7"/>
      <c r="T1095" s="7"/>
      <c r="U1095" s="7"/>
      <c r="V1095" s="7"/>
      <c r="W1095" s="7"/>
      <c r="X1095" s="7"/>
      <c r="Y1095" s="7"/>
      <c r="Z1095" s="7"/>
      <c r="AA1095" s="7"/>
    </row>
    <row r="1096" spans="1:27" ht="15.75" hidden="1" customHeight="1" x14ac:dyDescent="0.2">
      <c r="A1096" s="7" t="s">
        <v>132</v>
      </c>
      <c r="B1096" s="7" t="s">
        <v>621</v>
      </c>
      <c r="C1096" s="7"/>
      <c r="D1096" s="8" t="s">
        <v>654</v>
      </c>
      <c r="E1096" s="9">
        <v>193977.87</v>
      </c>
      <c r="F1096" s="9">
        <v>1074433.42</v>
      </c>
      <c r="G1096" s="9">
        <v>9.7084385999999991</v>
      </c>
      <c r="H1096" s="9">
        <v>-83.788790000000006</v>
      </c>
      <c r="I1096" s="7">
        <v>1642</v>
      </c>
      <c r="J1096" s="7"/>
      <c r="K1096" s="10">
        <v>43312</v>
      </c>
      <c r="L1096" s="10">
        <v>43360</v>
      </c>
      <c r="M1096" s="11">
        <f>IF(ISBLANK(K1096),0,IF(ISBLANK(L1096),0,L1096-K1096+1))</f>
        <v>49</v>
      </c>
      <c r="N1096" s="11">
        <f t="shared" si="1"/>
        <v>49</v>
      </c>
      <c r="O1096" s="33" t="s">
        <v>668</v>
      </c>
      <c r="P1096" s="8" t="s">
        <v>654</v>
      </c>
      <c r="Q1096" s="7"/>
      <c r="R1096" s="7"/>
      <c r="S1096" s="7"/>
      <c r="T1096" s="7"/>
      <c r="U1096" s="7"/>
      <c r="V1096" s="7"/>
      <c r="W1096" s="7"/>
      <c r="X1096" s="7"/>
      <c r="Y1096" s="7"/>
      <c r="Z1096" s="7"/>
      <c r="AA1096" s="7"/>
    </row>
    <row r="1097" spans="1:27" ht="15.75" hidden="1" customHeight="1" x14ac:dyDescent="0.2">
      <c r="A1097" s="7" t="s">
        <v>132</v>
      </c>
      <c r="B1097" s="7" t="s">
        <v>621</v>
      </c>
      <c r="C1097" s="7" t="s">
        <v>644</v>
      </c>
      <c r="D1097" s="8" t="s">
        <v>634</v>
      </c>
      <c r="E1097" s="9">
        <v>195024</v>
      </c>
      <c r="F1097" s="9">
        <v>1074242</v>
      </c>
      <c r="G1097" s="9">
        <v>9.7067899999999998</v>
      </c>
      <c r="H1097" s="9">
        <v>-83.779250000000005</v>
      </c>
      <c r="I1097" s="7">
        <v>1508</v>
      </c>
      <c r="J1097" s="7"/>
      <c r="K1097" s="10">
        <v>43171</v>
      </c>
      <c r="L1097" s="10">
        <v>43205</v>
      </c>
      <c r="M1097" s="11">
        <v>0</v>
      </c>
      <c r="N1097" s="11">
        <f t="shared" si="1"/>
        <v>35</v>
      </c>
      <c r="O1097" s="8" t="s">
        <v>669</v>
      </c>
      <c r="P1097" s="8" t="s">
        <v>654</v>
      </c>
      <c r="Q1097" s="7"/>
      <c r="R1097" s="7"/>
      <c r="S1097" s="7"/>
      <c r="T1097" s="7"/>
      <c r="U1097" s="7"/>
      <c r="V1097" s="7"/>
      <c r="W1097" s="7"/>
      <c r="X1097" s="7"/>
      <c r="Y1097" s="7"/>
      <c r="Z1097" s="7"/>
      <c r="AA1097" s="7"/>
    </row>
    <row r="1098" spans="1:27" ht="15.75" hidden="1" customHeight="1" x14ac:dyDescent="0.2">
      <c r="A1098" s="7" t="s">
        <v>165</v>
      </c>
      <c r="B1098" s="7" t="s">
        <v>621</v>
      </c>
      <c r="C1098" s="7" t="s">
        <v>644</v>
      </c>
      <c r="D1098" s="8" t="s">
        <v>636</v>
      </c>
      <c r="E1098" s="9">
        <v>195370</v>
      </c>
      <c r="F1098" s="9">
        <v>1076694</v>
      </c>
      <c r="G1098" s="9">
        <v>9.7289600000000007</v>
      </c>
      <c r="H1098" s="9">
        <v>-83.77628</v>
      </c>
      <c r="I1098" s="7">
        <v>1541</v>
      </c>
      <c r="J1098" s="7"/>
      <c r="K1098" s="10">
        <v>42682</v>
      </c>
      <c r="L1098" s="10">
        <v>42722</v>
      </c>
      <c r="M1098" s="11">
        <v>0</v>
      </c>
      <c r="N1098" s="11">
        <f t="shared" si="1"/>
        <v>41</v>
      </c>
      <c r="O1098" s="8" t="s">
        <v>670</v>
      </c>
      <c r="P1098" s="8" t="s">
        <v>662</v>
      </c>
      <c r="Q1098" s="7"/>
      <c r="R1098" s="7"/>
      <c r="S1098" s="7"/>
      <c r="T1098" s="7"/>
      <c r="U1098" s="7"/>
      <c r="V1098" s="7"/>
      <c r="W1098" s="7"/>
      <c r="X1098" s="7"/>
      <c r="Y1098" s="7"/>
      <c r="Z1098" s="7"/>
      <c r="AA1098" s="7"/>
    </row>
    <row r="1099" spans="1:27" ht="15.75" hidden="1" customHeight="1" x14ac:dyDescent="0.2">
      <c r="A1099" s="7" t="s">
        <v>165</v>
      </c>
      <c r="B1099" s="7" t="s">
        <v>621</v>
      </c>
      <c r="C1099" s="7" t="s">
        <v>644</v>
      </c>
      <c r="D1099" s="8" t="s">
        <v>636</v>
      </c>
      <c r="E1099" s="9">
        <v>195370</v>
      </c>
      <c r="F1099" s="9">
        <v>1076694</v>
      </c>
      <c r="G1099" s="9">
        <v>9.7289600000000007</v>
      </c>
      <c r="H1099" s="9">
        <v>-83.77628</v>
      </c>
      <c r="I1099" s="7">
        <v>1541</v>
      </c>
      <c r="J1099" s="7"/>
      <c r="K1099" s="10">
        <v>42682</v>
      </c>
      <c r="L1099" s="10">
        <v>42722</v>
      </c>
      <c r="M1099" s="11">
        <f t="shared" ref="M1099:M1103" si="66">IF(ISBLANK(K1099),0,IF(ISBLANK(L1099),0,L1099-K1099+1))</f>
        <v>41</v>
      </c>
      <c r="N1099" s="11">
        <f t="shared" si="1"/>
        <v>41</v>
      </c>
      <c r="O1099" s="8"/>
      <c r="P1099" s="8" t="s">
        <v>665</v>
      </c>
      <c r="Q1099" s="7"/>
      <c r="R1099" s="7"/>
      <c r="S1099" s="7"/>
      <c r="T1099" s="7"/>
      <c r="U1099" s="7"/>
      <c r="V1099" s="7"/>
      <c r="W1099" s="7"/>
      <c r="X1099" s="7"/>
      <c r="Y1099" s="7"/>
      <c r="Z1099" s="7"/>
      <c r="AA1099" s="7"/>
    </row>
    <row r="1100" spans="1:27" ht="15.75" hidden="1" customHeight="1" x14ac:dyDescent="0.2">
      <c r="A1100" s="7" t="s">
        <v>186</v>
      </c>
      <c r="B1100" s="7" t="s">
        <v>621</v>
      </c>
      <c r="C1100" s="7" t="s">
        <v>644</v>
      </c>
      <c r="D1100" s="8" t="s">
        <v>636</v>
      </c>
      <c r="E1100" s="9">
        <v>195370</v>
      </c>
      <c r="F1100" s="9">
        <v>1076694</v>
      </c>
      <c r="G1100" s="9">
        <v>9.7289600000000007</v>
      </c>
      <c r="H1100" s="9">
        <v>-83.77628</v>
      </c>
      <c r="I1100" s="7">
        <v>1541</v>
      </c>
      <c r="J1100" s="7"/>
      <c r="K1100" s="10">
        <v>42870</v>
      </c>
      <c r="L1100" s="10">
        <v>42935</v>
      </c>
      <c r="M1100" s="11">
        <f t="shared" si="66"/>
        <v>66</v>
      </c>
      <c r="N1100" s="11">
        <f t="shared" si="1"/>
        <v>66</v>
      </c>
      <c r="O1100" s="8" t="s">
        <v>671</v>
      </c>
      <c r="P1100" s="8" t="s">
        <v>662</v>
      </c>
      <c r="Q1100" s="7"/>
      <c r="R1100" s="7"/>
      <c r="S1100" s="7"/>
      <c r="T1100" s="7"/>
      <c r="U1100" s="7"/>
      <c r="V1100" s="7"/>
      <c r="W1100" s="7"/>
      <c r="X1100" s="7"/>
      <c r="Y1100" s="7"/>
      <c r="Z1100" s="7"/>
      <c r="AA1100" s="7"/>
    </row>
    <row r="1101" spans="1:27" ht="15.75" hidden="1" customHeight="1" x14ac:dyDescent="0.2">
      <c r="A1101" s="7" t="s">
        <v>132</v>
      </c>
      <c r="B1101" s="7" t="s">
        <v>621</v>
      </c>
      <c r="C1101" s="7"/>
      <c r="D1101" s="8" t="s">
        <v>634</v>
      </c>
      <c r="E1101" s="9">
        <v>197207.32</v>
      </c>
      <c r="F1101" s="9">
        <v>1072357.04</v>
      </c>
      <c r="G1101" s="9">
        <v>9.6899192000000003</v>
      </c>
      <c r="H1101" s="9">
        <v>-83.759229500000004</v>
      </c>
      <c r="I1101" s="7">
        <v>1668</v>
      </c>
      <c r="J1101" s="7"/>
      <c r="K1101" s="10">
        <v>43312</v>
      </c>
      <c r="L1101" s="10">
        <v>43327</v>
      </c>
      <c r="M1101" s="11">
        <f t="shared" si="66"/>
        <v>16</v>
      </c>
      <c r="N1101" s="11">
        <f t="shared" si="1"/>
        <v>16</v>
      </c>
      <c r="O1101" s="8" t="s">
        <v>672</v>
      </c>
      <c r="P1101" s="8" t="s">
        <v>655</v>
      </c>
      <c r="Q1101" s="34"/>
      <c r="R1101" s="34"/>
      <c r="S1101" s="34"/>
      <c r="T1101" s="34"/>
      <c r="U1101" s="34"/>
      <c r="V1101" s="34"/>
      <c r="W1101" s="34"/>
      <c r="X1101" s="34"/>
      <c r="Y1101" s="34"/>
      <c r="Z1101" s="34"/>
      <c r="AA1101" s="34"/>
    </row>
    <row r="1102" spans="1:27" ht="15.75" hidden="1" customHeight="1" x14ac:dyDescent="0.2">
      <c r="A1102" s="7" t="s">
        <v>132</v>
      </c>
      <c r="B1102" s="7" t="s">
        <v>621</v>
      </c>
      <c r="C1102" s="7" t="s">
        <v>644</v>
      </c>
      <c r="D1102" s="8" t="s">
        <v>633</v>
      </c>
      <c r="E1102" s="9">
        <v>197752</v>
      </c>
      <c r="F1102" s="9">
        <v>1071996</v>
      </c>
      <c r="G1102" s="9">
        <v>9.6867000000000001</v>
      </c>
      <c r="H1102" s="9">
        <v>-83.754239999999996</v>
      </c>
      <c r="I1102" s="7">
        <v>1667</v>
      </c>
      <c r="J1102" s="7"/>
      <c r="K1102" s="7"/>
      <c r="L1102" s="7"/>
      <c r="M1102" s="11">
        <f t="shared" si="66"/>
        <v>0</v>
      </c>
      <c r="N1102" s="11">
        <f t="shared" si="1"/>
        <v>0</v>
      </c>
      <c r="O1102" s="8"/>
      <c r="P1102" s="8" t="s">
        <v>658</v>
      </c>
      <c r="Q1102" s="34"/>
      <c r="R1102" s="34"/>
      <c r="S1102" s="34"/>
      <c r="T1102" s="34"/>
      <c r="U1102" s="34"/>
      <c r="V1102" s="34"/>
      <c r="W1102" s="34"/>
      <c r="X1102" s="34"/>
      <c r="Y1102" s="34"/>
      <c r="Z1102" s="34"/>
      <c r="AA1102" s="34"/>
    </row>
    <row r="1103" spans="1:27" ht="15.75" hidden="1" customHeight="1" x14ac:dyDescent="0.2">
      <c r="A1103" s="7" t="s">
        <v>132</v>
      </c>
      <c r="B1103" s="7" t="s">
        <v>621</v>
      </c>
      <c r="C1103" s="7" t="s">
        <v>644</v>
      </c>
      <c r="D1103" s="8" t="s">
        <v>633</v>
      </c>
      <c r="E1103" s="9">
        <v>197752</v>
      </c>
      <c r="F1103" s="9">
        <v>1071996</v>
      </c>
      <c r="G1103" s="9">
        <v>9.6867000000000001</v>
      </c>
      <c r="H1103" s="9">
        <v>-83.754239999999996</v>
      </c>
      <c r="I1103" s="7">
        <v>1667</v>
      </c>
      <c r="J1103" s="7"/>
      <c r="K1103" s="7"/>
      <c r="L1103" s="7"/>
      <c r="M1103" s="11">
        <f t="shared" si="66"/>
        <v>0</v>
      </c>
      <c r="N1103" s="11">
        <f t="shared" si="1"/>
        <v>0</v>
      </c>
      <c r="O1103" s="8"/>
      <c r="P1103" s="8" t="s">
        <v>659</v>
      </c>
      <c r="Q1103" s="34"/>
      <c r="R1103" s="34"/>
      <c r="S1103" s="34"/>
      <c r="T1103" s="34"/>
      <c r="U1103" s="34"/>
      <c r="V1103" s="34"/>
      <c r="W1103" s="34"/>
      <c r="X1103" s="34"/>
      <c r="Y1103" s="34"/>
      <c r="Z1103" s="34"/>
      <c r="AA1103" s="34"/>
    </row>
    <row r="1104" spans="1:27" ht="15.75" hidden="1" customHeight="1" x14ac:dyDescent="0.2">
      <c r="A1104" s="7" t="s">
        <v>186</v>
      </c>
      <c r="B1104" s="7" t="s">
        <v>621</v>
      </c>
      <c r="C1104" s="7" t="s">
        <v>644</v>
      </c>
      <c r="D1104" s="8" t="s">
        <v>636</v>
      </c>
      <c r="E1104" s="9">
        <v>195370</v>
      </c>
      <c r="F1104" s="9">
        <v>1076694</v>
      </c>
      <c r="G1104" s="9">
        <v>9.7289600000000007</v>
      </c>
      <c r="H1104" s="9">
        <v>-83.77628</v>
      </c>
      <c r="I1104" s="7">
        <v>1541</v>
      </c>
      <c r="J1104" s="7"/>
      <c r="K1104" s="10">
        <v>42896</v>
      </c>
      <c r="L1104" s="10">
        <v>42942</v>
      </c>
      <c r="M1104" s="11">
        <v>0</v>
      </c>
      <c r="N1104" s="11">
        <f t="shared" si="1"/>
        <v>47</v>
      </c>
      <c r="O1104" s="8" t="s">
        <v>673</v>
      </c>
      <c r="P1104" s="8" t="s">
        <v>662</v>
      </c>
      <c r="Q1104" s="34"/>
      <c r="R1104" s="34"/>
      <c r="S1104" s="34"/>
      <c r="T1104" s="34"/>
      <c r="U1104" s="34"/>
      <c r="V1104" s="34"/>
      <c r="W1104" s="34"/>
      <c r="X1104" s="34"/>
      <c r="Y1104" s="34"/>
      <c r="Z1104" s="34"/>
      <c r="AA1104" s="34"/>
    </row>
    <row r="1105" spans="1:27" ht="15.75" hidden="1" customHeight="1" x14ac:dyDescent="0.2">
      <c r="A1105" s="7" t="s">
        <v>52</v>
      </c>
      <c r="B1105" s="7" t="s">
        <v>621</v>
      </c>
      <c r="C1105" s="7" t="s">
        <v>622</v>
      </c>
      <c r="D1105" s="8" t="s">
        <v>623</v>
      </c>
      <c r="E1105" s="9">
        <v>185190</v>
      </c>
      <c r="F1105" s="9">
        <v>1072155</v>
      </c>
      <c r="G1105" s="9">
        <v>9.6872000000000007</v>
      </c>
      <c r="H1105" s="9">
        <v>-83.868629999999996</v>
      </c>
      <c r="I1105" s="7">
        <v>2780</v>
      </c>
      <c r="J1105" s="7" t="s">
        <v>26</v>
      </c>
      <c r="K1105" s="10">
        <v>41079</v>
      </c>
      <c r="L1105" s="10">
        <v>41124</v>
      </c>
      <c r="M1105" s="11">
        <f t="shared" ref="M1105:M1115" si="67">IF(ISBLANK(K1105),0,IF(ISBLANK(L1105),0,L1105-K1105+1))</f>
        <v>46</v>
      </c>
      <c r="N1105" s="11">
        <f t="shared" si="1"/>
        <v>46</v>
      </c>
      <c r="O1105" s="8"/>
      <c r="P1105" s="8" t="s">
        <v>623</v>
      </c>
      <c r="Q1105" s="34"/>
      <c r="R1105" s="34"/>
      <c r="S1105" s="34"/>
      <c r="T1105" s="34"/>
      <c r="U1105" s="34"/>
      <c r="V1105" s="34"/>
      <c r="W1105" s="34"/>
      <c r="X1105" s="34"/>
      <c r="Y1105" s="34"/>
      <c r="Z1105" s="34"/>
      <c r="AA1105" s="34"/>
    </row>
    <row r="1106" spans="1:27" ht="15.75" hidden="1" customHeight="1" x14ac:dyDescent="0.2">
      <c r="A1106" s="7" t="s">
        <v>52</v>
      </c>
      <c r="B1106" s="7" t="s">
        <v>621</v>
      </c>
      <c r="C1106" s="7" t="s">
        <v>622</v>
      </c>
      <c r="D1106" s="8" t="s">
        <v>624</v>
      </c>
      <c r="E1106" s="9">
        <v>185871</v>
      </c>
      <c r="F1106" s="9">
        <v>1073502</v>
      </c>
      <c r="G1106" s="9">
        <v>9.6994199999999999</v>
      </c>
      <c r="H1106" s="9">
        <v>-83.862530000000007</v>
      </c>
      <c r="I1106" s="7">
        <v>2673</v>
      </c>
      <c r="J1106" s="7" t="s">
        <v>26</v>
      </c>
      <c r="K1106" s="10">
        <v>41079</v>
      </c>
      <c r="L1106" s="10">
        <v>41124</v>
      </c>
      <c r="M1106" s="11">
        <f t="shared" si="67"/>
        <v>46</v>
      </c>
      <c r="N1106" s="11">
        <f t="shared" si="1"/>
        <v>46</v>
      </c>
      <c r="O1106" s="8"/>
      <c r="P1106" s="8" t="s">
        <v>624</v>
      </c>
      <c r="Q1106" s="34"/>
      <c r="R1106" s="34"/>
      <c r="S1106" s="34"/>
      <c r="T1106" s="34"/>
      <c r="U1106" s="34"/>
      <c r="V1106" s="34"/>
      <c r="W1106" s="34"/>
      <c r="X1106" s="34"/>
      <c r="Y1106" s="34"/>
      <c r="Z1106" s="34"/>
      <c r="AA1106" s="34"/>
    </row>
    <row r="1107" spans="1:27" ht="15.75" hidden="1" customHeight="1" x14ac:dyDescent="0.2">
      <c r="A1107" s="7" t="s">
        <v>52</v>
      </c>
      <c r="B1107" s="7" t="s">
        <v>621</v>
      </c>
      <c r="C1107" s="7" t="s">
        <v>622</v>
      </c>
      <c r="D1107" s="8" t="s">
        <v>625</v>
      </c>
      <c r="E1107" s="9">
        <v>186331</v>
      </c>
      <c r="F1107" s="9">
        <v>1073102</v>
      </c>
      <c r="G1107" s="9">
        <v>9.6958300000000008</v>
      </c>
      <c r="H1107" s="9">
        <v>-83.858320000000006</v>
      </c>
      <c r="I1107" s="7">
        <v>2673</v>
      </c>
      <c r="J1107" s="7" t="s">
        <v>26</v>
      </c>
      <c r="K1107" s="10">
        <v>41079</v>
      </c>
      <c r="L1107" s="10">
        <v>41124</v>
      </c>
      <c r="M1107" s="11">
        <f t="shared" si="67"/>
        <v>46</v>
      </c>
      <c r="N1107" s="11">
        <f t="shared" si="1"/>
        <v>46</v>
      </c>
      <c r="O1107" s="8"/>
      <c r="P1107" s="8" t="s">
        <v>625</v>
      </c>
      <c r="Q1107" s="34"/>
      <c r="R1107" s="34"/>
      <c r="S1107" s="34"/>
      <c r="T1107" s="34"/>
      <c r="U1107" s="34"/>
      <c r="V1107" s="34"/>
      <c r="W1107" s="34"/>
      <c r="X1107" s="34"/>
      <c r="Y1107" s="34"/>
      <c r="Z1107" s="34"/>
      <c r="AA1107" s="34"/>
    </row>
    <row r="1108" spans="1:27" ht="15.75" hidden="1" customHeight="1" x14ac:dyDescent="0.2">
      <c r="A1108" s="7" t="s">
        <v>52</v>
      </c>
      <c r="B1108" s="7" t="s">
        <v>621</v>
      </c>
      <c r="C1108" s="7" t="s">
        <v>622</v>
      </c>
      <c r="D1108" s="8" t="s">
        <v>626</v>
      </c>
      <c r="E1108" s="9">
        <v>186414</v>
      </c>
      <c r="F1108" s="9">
        <v>1074887</v>
      </c>
      <c r="G1108" s="9">
        <v>9.7119700000000009</v>
      </c>
      <c r="H1108" s="9">
        <v>-83.857699999999994</v>
      </c>
      <c r="I1108" s="7">
        <v>2344</v>
      </c>
      <c r="J1108" s="7" t="s">
        <v>26</v>
      </c>
      <c r="K1108" s="10">
        <v>41079</v>
      </c>
      <c r="L1108" s="10">
        <v>41124</v>
      </c>
      <c r="M1108" s="11">
        <f t="shared" si="67"/>
        <v>46</v>
      </c>
      <c r="N1108" s="11">
        <f t="shared" si="1"/>
        <v>46</v>
      </c>
      <c r="O1108" s="8"/>
      <c r="P1108" s="8" t="s">
        <v>626</v>
      </c>
      <c r="Q1108" s="34"/>
      <c r="R1108" s="34"/>
      <c r="S1108" s="34"/>
      <c r="T1108" s="34"/>
      <c r="U1108" s="34"/>
      <c r="V1108" s="34"/>
      <c r="W1108" s="34"/>
      <c r="X1108" s="34"/>
      <c r="Y1108" s="34"/>
      <c r="Z1108" s="34"/>
      <c r="AA1108" s="34"/>
    </row>
    <row r="1109" spans="1:27" ht="15.75" hidden="1" customHeight="1" x14ac:dyDescent="0.2">
      <c r="A1109" s="7" t="s">
        <v>52</v>
      </c>
      <c r="B1109" s="7" t="s">
        <v>621</v>
      </c>
      <c r="C1109" s="7" t="s">
        <v>627</v>
      </c>
      <c r="D1109" s="8" t="s">
        <v>628</v>
      </c>
      <c r="E1109" s="9">
        <v>188010</v>
      </c>
      <c r="F1109" s="9">
        <v>1068530</v>
      </c>
      <c r="G1109" s="9">
        <v>9.6546699999999994</v>
      </c>
      <c r="H1109" s="9">
        <v>-83.842680000000001</v>
      </c>
      <c r="I1109" s="7">
        <v>2702</v>
      </c>
      <c r="J1109" s="7" t="s">
        <v>26</v>
      </c>
      <c r="K1109" s="10">
        <v>41080</v>
      </c>
      <c r="L1109" s="10">
        <v>41124</v>
      </c>
      <c r="M1109" s="11">
        <f t="shared" si="67"/>
        <v>45</v>
      </c>
      <c r="N1109" s="11">
        <f t="shared" si="1"/>
        <v>45</v>
      </c>
      <c r="O1109" s="8"/>
      <c r="P1109" s="8" t="s">
        <v>628</v>
      </c>
      <c r="Q1109" s="34"/>
      <c r="R1109" s="34"/>
      <c r="S1109" s="34"/>
      <c r="T1109" s="34"/>
      <c r="U1109" s="34"/>
      <c r="V1109" s="34"/>
      <c r="W1109" s="34"/>
      <c r="X1109" s="34"/>
      <c r="Y1109" s="34"/>
      <c r="Z1109" s="34"/>
      <c r="AA1109" s="34"/>
    </row>
    <row r="1110" spans="1:27" ht="15.75" hidden="1" customHeight="1" x14ac:dyDescent="0.2">
      <c r="A1110" s="7" t="s">
        <v>52</v>
      </c>
      <c r="B1110" s="7" t="s">
        <v>621</v>
      </c>
      <c r="C1110" s="7" t="s">
        <v>627</v>
      </c>
      <c r="D1110" s="8" t="s">
        <v>629</v>
      </c>
      <c r="E1110" s="9">
        <v>189245</v>
      </c>
      <c r="F1110" s="9">
        <v>1068909</v>
      </c>
      <c r="G1110" s="9">
        <v>9.6581799999999998</v>
      </c>
      <c r="H1110" s="9">
        <v>-83.831469999999996</v>
      </c>
      <c r="I1110" s="7">
        <v>2613</v>
      </c>
      <c r="J1110" s="7" t="s">
        <v>26</v>
      </c>
      <c r="K1110" s="10">
        <v>41079</v>
      </c>
      <c r="L1110" s="10">
        <v>41124</v>
      </c>
      <c r="M1110" s="11">
        <f t="shared" si="67"/>
        <v>46</v>
      </c>
      <c r="N1110" s="11">
        <f t="shared" si="1"/>
        <v>46</v>
      </c>
      <c r="O1110" s="8"/>
      <c r="P1110" s="8" t="s">
        <v>629</v>
      </c>
      <c r="Q1110" s="34"/>
      <c r="R1110" s="34"/>
      <c r="S1110" s="34"/>
      <c r="T1110" s="34"/>
      <c r="U1110" s="34"/>
      <c r="V1110" s="34"/>
      <c r="W1110" s="34"/>
      <c r="X1110" s="34"/>
      <c r="Y1110" s="34"/>
      <c r="Z1110" s="34"/>
      <c r="AA1110" s="34"/>
    </row>
    <row r="1111" spans="1:27" ht="15.75" hidden="1" customHeight="1" x14ac:dyDescent="0.2">
      <c r="A1111" s="7" t="s">
        <v>52</v>
      </c>
      <c r="B1111" s="7" t="s">
        <v>621</v>
      </c>
      <c r="C1111" s="7" t="s">
        <v>627</v>
      </c>
      <c r="D1111" s="8" t="s">
        <v>630</v>
      </c>
      <c r="E1111" s="9">
        <v>189763</v>
      </c>
      <c r="F1111" s="9">
        <v>1069067</v>
      </c>
      <c r="G1111" s="9">
        <v>9.6596499999999992</v>
      </c>
      <c r="H1111" s="9">
        <v>-83.826769999999996</v>
      </c>
      <c r="I1111" s="7">
        <v>2561</v>
      </c>
      <c r="J1111" s="7" t="s">
        <v>26</v>
      </c>
      <c r="K1111" s="10">
        <v>41080</v>
      </c>
      <c r="L1111" s="10">
        <v>41124</v>
      </c>
      <c r="M1111" s="11">
        <f t="shared" si="67"/>
        <v>45</v>
      </c>
      <c r="N1111" s="11">
        <f t="shared" si="1"/>
        <v>45</v>
      </c>
      <c r="O1111" s="8"/>
      <c r="P1111" s="8" t="s">
        <v>630</v>
      </c>
      <c r="Q1111" s="34"/>
      <c r="R1111" s="34"/>
      <c r="S1111" s="34"/>
      <c r="T1111" s="34"/>
      <c r="U1111" s="34"/>
      <c r="V1111" s="34"/>
      <c r="W1111" s="34"/>
      <c r="X1111" s="34"/>
      <c r="Y1111" s="34"/>
      <c r="Z1111" s="34"/>
      <c r="AA1111" s="34"/>
    </row>
    <row r="1112" spans="1:27" ht="15.75" hidden="1" customHeight="1" x14ac:dyDescent="0.2">
      <c r="A1112" s="7" t="s">
        <v>52</v>
      </c>
      <c r="B1112" s="7" t="s">
        <v>621</v>
      </c>
      <c r="C1112" s="7" t="s">
        <v>631</v>
      </c>
      <c r="D1112" s="8" t="s">
        <v>632</v>
      </c>
      <c r="E1112" s="9">
        <v>193660</v>
      </c>
      <c r="F1112" s="9">
        <v>1074411</v>
      </c>
      <c r="G1112" s="9">
        <v>9.7082200000000007</v>
      </c>
      <c r="H1112" s="9">
        <v>-83.791679999999999</v>
      </c>
      <c r="I1112" s="7">
        <v>1619</v>
      </c>
      <c r="J1112" s="7" t="s">
        <v>20</v>
      </c>
      <c r="K1112" s="10">
        <v>41078</v>
      </c>
      <c r="L1112" s="10">
        <v>41125</v>
      </c>
      <c r="M1112" s="11">
        <f t="shared" si="67"/>
        <v>48</v>
      </c>
      <c r="N1112" s="11">
        <f t="shared" si="1"/>
        <v>48</v>
      </c>
      <c r="O1112" s="8"/>
      <c r="P1112" s="8" t="s">
        <v>632</v>
      </c>
      <c r="Q1112" s="34"/>
      <c r="R1112" s="34"/>
      <c r="S1112" s="34"/>
      <c r="T1112" s="34"/>
      <c r="U1112" s="34"/>
      <c r="V1112" s="34"/>
      <c r="W1112" s="34"/>
      <c r="X1112" s="34"/>
      <c r="Y1112" s="34"/>
      <c r="Z1112" s="34"/>
      <c r="AA1112" s="34"/>
    </row>
    <row r="1113" spans="1:27" ht="15.75" hidden="1" customHeight="1" x14ac:dyDescent="0.2">
      <c r="A1113" s="7" t="s">
        <v>52</v>
      </c>
      <c r="B1113" s="7" t="s">
        <v>621</v>
      </c>
      <c r="C1113" s="7" t="s">
        <v>631</v>
      </c>
      <c r="D1113" s="8" t="s">
        <v>633</v>
      </c>
      <c r="E1113" s="9">
        <v>194703</v>
      </c>
      <c r="F1113" s="9">
        <v>1072980</v>
      </c>
      <c r="G1113" s="9">
        <v>9.6953700000000005</v>
      </c>
      <c r="H1113" s="9">
        <v>-83.782079999999993</v>
      </c>
      <c r="I1113" s="7">
        <v>1618</v>
      </c>
      <c r="J1113" s="7" t="s">
        <v>20</v>
      </c>
      <c r="K1113" s="10">
        <v>41078</v>
      </c>
      <c r="L1113" s="10">
        <v>41125</v>
      </c>
      <c r="M1113" s="11">
        <f t="shared" si="67"/>
        <v>48</v>
      </c>
      <c r="N1113" s="11">
        <f t="shared" si="1"/>
        <v>48</v>
      </c>
      <c r="O1113" s="8"/>
      <c r="P1113" s="8" t="s">
        <v>633</v>
      </c>
      <c r="Q1113" s="34"/>
      <c r="R1113" s="34"/>
      <c r="S1113" s="34"/>
      <c r="T1113" s="34"/>
      <c r="U1113" s="34"/>
      <c r="V1113" s="34"/>
      <c r="W1113" s="34"/>
      <c r="X1113" s="34"/>
      <c r="Y1113" s="34"/>
      <c r="Z1113" s="34"/>
      <c r="AA1113" s="34"/>
    </row>
    <row r="1114" spans="1:27" ht="15.75" hidden="1" customHeight="1" x14ac:dyDescent="0.2">
      <c r="A1114" s="7" t="s">
        <v>52</v>
      </c>
      <c r="B1114" s="7" t="s">
        <v>621</v>
      </c>
      <c r="C1114" s="7" t="s">
        <v>631</v>
      </c>
      <c r="D1114" s="8" t="s">
        <v>634</v>
      </c>
      <c r="E1114" s="9">
        <v>194838</v>
      </c>
      <c r="F1114" s="9">
        <v>1075429</v>
      </c>
      <c r="G1114" s="9">
        <v>9.7174999999999994</v>
      </c>
      <c r="H1114" s="9">
        <v>-83.781030000000001</v>
      </c>
      <c r="I1114" s="7">
        <v>1564</v>
      </c>
      <c r="J1114" s="7" t="s">
        <v>20</v>
      </c>
      <c r="K1114" s="10">
        <v>41078</v>
      </c>
      <c r="L1114" s="10">
        <v>41125</v>
      </c>
      <c r="M1114" s="11">
        <f t="shared" si="67"/>
        <v>48</v>
      </c>
      <c r="N1114" s="11">
        <f t="shared" si="1"/>
        <v>48</v>
      </c>
      <c r="O1114" s="8"/>
      <c r="P1114" s="8" t="s">
        <v>634</v>
      </c>
      <c r="Q1114" s="34"/>
      <c r="R1114" s="34"/>
      <c r="S1114" s="34"/>
      <c r="T1114" s="34"/>
      <c r="U1114" s="34"/>
      <c r="V1114" s="34"/>
      <c r="W1114" s="34"/>
      <c r="X1114" s="34"/>
      <c r="Y1114" s="34"/>
      <c r="Z1114" s="34"/>
      <c r="AA1114" s="34"/>
    </row>
    <row r="1115" spans="1:27" ht="15.75" hidden="1" customHeight="1" x14ac:dyDescent="0.2">
      <c r="A1115" s="7" t="s">
        <v>52</v>
      </c>
      <c r="B1115" s="7" t="s">
        <v>621</v>
      </c>
      <c r="C1115" s="7" t="s">
        <v>631</v>
      </c>
      <c r="D1115" s="8" t="s">
        <v>635</v>
      </c>
      <c r="E1115" s="9">
        <v>195024</v>
      </c>
      <c r="F1115" s="9">
        <v>1074245</v>
      </c>
      <c r="G1115" s="9">
        <v>9.7068700000000003</v>
      </c>
      <c r="H1115" s="9">
        <v>-83.77928</v>
      </c>
      <c r="I1115" s="7">
        <v>1506</v>
      </c>
      <c r="J1115" s="7" t="s">
        <v>20</v>
      </c>
      <c r="K1115" s="10">
        <v>41078</v>
      </c>
      <c r="L1115" s="10">
        <v>41125</v>
      </c>
      <c r="M1115" s="11">
        <f t="shared" si="67"/>
        <v>48</v>
      </c>
      <c r="N1115" s="11">
        <f t="shared" si="1"/>
        <v>48</v>
      </c>
      <c r="O1115" s="8"/>
      <c r="P1115" s="8" t="s">
        <v>635</v>
      </c>
      <c r="Q1115" s="34"/>
      <c r="R1115" s="34"/>
      <c r="S1115" s="34"/>
      <c r="T1115" s="34"/>
      <c r="U1115" s="34"/>
      <c r="V1115" s="34"/>
      <c r="W1115" s="34"/>
      <c r="X1115" s="34"/>
      <c r="Y1115" s="34"/>
      <c r="Z1115" s="34"/>
      <c r="AA1115" s="34"/>
    </row>
    <row r="1116" spans="1:27" ht="15.75" hidden="1" customHeight="1" x14ac:dyDescent="0.2">
      <c r="A1116" s="7" t="s">
        <v>186</v>
      </c>
      <c r="B1116" s="7" t="s">
        <v>621</v>
      </c>
      <c r="C1116" s="7" t="s">
        <v>644</v>
      </c>
      <c r="D1116" s="8" t="s">
        <v>636</v>
      </c>
      <c r="E1116" s="9">
        <v>195370</v>
      </c>
      <c r="F1116" s="9">
        <v>1076694</v>
      </c>
      <c r="G1116" s="9">
        <v>9.7289600000000007</v>
      </c>
      <c r="H1116" s="9">
        <v>-83.77628</v>
      </c>
      <c r="I1116" s="7">
        <v>1541</v>
      </c>
      <c r="J1116" s="7"/>
      <c r="K1116" s="10">
        <v>42896</v>
      </c>
      <c r="L1116" s="10">
        <v>42935</v>
      </c>
      <c r="M1116" s="11">
        <v>0</v>
      </c>
      <c r="N1116" s="11">
        <f t="shared" si="1"/>
        <v>40</v>
      </c>
      <c r="O1116" s="8" t="s">
        <v>674</v>
      </c>
      <c r="P1116" s="8" t="s">
        <v>665</v>
      </c>
      <c r="Q1116" s="34"/>
      <c r="R1116" s="34"/>
      <c r="S1116" s="34"/>
      <c r="T1116" s="34"/>
      <c r="U1116" s="34"/>
      <c r="V1116" s="34"/>
      <c r="W1116" s="34"/>
      <c r="X1116" s="34"/>
      <c r="Y1116" s="34"/>
      <c r="Z1116" s="34"/>
      <c r="AA1116" s="34"/>
    </row>
    <row r="1117" spans="1:27" ht="15.75" hidden="1" customHeight="1" x14ac:dyDescent="0.2">
      <c r="A1117" s="7" t="s">
        <v>52</v>
      </c>
      <c r="B1117" s="7" t="s">
        <v>621</v>
      </c>
      <c r="C1117" s="7" t="s">
        <v>631</v>
      </c>
      <c r="D1117" s="8" t="s">
        <v>637</v>
      </c>
      <c r="E1117" s="9">
        <v>195880</v>
      </c>
      <c r="F1117" s="9">
        <v>1073078</v>
      </c>
      <c r="G1117" s="9">
        <v>9.6963299999999997</v>
      </c>
      <c r="H1117" s="9">
        <v>-83.771370000000005</v>
      </c>
      <c r="I1117" s="7">
        <v>1632</v>
      </c>
      <c r="J1117" s="7" t="s">
        <v>20</v>
      </c>
      <c r="K1117" s="10">
        <v>41078</v>
      </c>
      <c r="L1117" s="10">
        <v>41125</v>
      </c>
      <c r="M1117" s="11">
        <f t="shared" ref="M1117:M1125" si="68">IF(ISBLANK(K1117),0,IF(ISBLANK(L1117),0,L1117-K1117+1))</f>
        <v>48</v>
      </c>
      <c r="N1117" s="11">
        <f t="shared" si="1"/>
        <v>48</v>
      </c>
      <c r="O1117" s="8"/>
      <c r="P1117" s="8" t="s">
        <v>637</v>
      </c>
      <c r="Q1117" s="34"/>
      <c r="R1117" s="34"/>
      <c r="S1117" s="34"/>
      <c r="T1117" s="34"/>
      <c r="U1117" s="34"/>
      <c r="V1117" s="34"/>
      <c r="W1117" s="34"/>
      <c r="X1117" s="34"/>
      <c r="Y1117" s="34"/>
      <c r="Z1117" s="34"/>
      <c r="AA1117" s="34"/>
    </row>
    <row r="1118" spans="1:27" ht="15.75" hidden="1" customHeight="1" x14ac:dyDescent="0.2">
      <c r="A1118" s="7" t="s">
        <v>52</v>
      </c>
      <c r="B1118" s="7" t="s">
        <v>621</v>
      </c>
      <c r="C1118" s="7" t="s">
        <v>631</v>
      </c>
      <c r="D1118" s="8" t="s">
        <v>638</v>
      </c>
      <c r="E1118" s="9">
        <v>197207</v>
      </c>
      <c r="F1118" s="9">
        <v>1072357</v>
      </c>
      <c r="G1118" s="9">
        <v>9.6899200000000008</v>
      </c>
      <c r="H1118" s="9">
        <v>-83.759230000000002</v>
      </c>
      <c r="I1118" s="7">
        <v>1668</v>
      </c>
      <c r="J1118" s="7" t="s">
        <v>20</v>
      </c>
      <c r="K1118" s="10">
        <v>41078</v>
      </c>
      <c r="L1118" s="10">
        <v>41125</v>
      </c>
      <c r="M1118" s="11">
        <f t="shared" si="68"/>
        <v>48</v>
      </c>
      <c r="N1118" s="11">
        <f t="shared" si="1"/>
        <v>48</v>
      </c>
      <c r="O1118" s="8"/>
      <c r="P1118" s="8" t="s">
        <v>638</v>
      </c>
      <c r="Q1118" s="34"/>
      <c r="R1118" s="34"/>
      <c r="S1118" s="34"/>
      <c r="T1118" s="34"/>
      <c r="U1118" s="34"/>
      <c r="V1118" s="34"/>
      <c r="W1118" s="34"/>
      <c r="X1118" s="34"/>
      <c r="Y1118" s="34"/>
      <c r="Z1118" s="34"/>
      <c r="AA1118" s="34"/>
    </row>
    <row r="1119" spans="1:27" ht="15.75" hidden="1" customHeight="1" x14ac:dyDescent="0.2">
      <c r="A1119" s="7" t="s">
        <v>193</v>
      </c>
      <c r="B1119" s="7" t="s">
        <v>621</v>
      </c>
      <c r="C1119" s="7" t="s">
        <v>622</v>
      </c>
      <c r="D1119" s="8" t="s">
        <v>623</v>
      </c>
      <c r="E1119" s="9">
        <v>185190</v>
      </c>
      <c r="F1119" s="9">
        <v>1072155</v>
      </c>
      <c r="G1119" s="9">
        <v>9.6872000000000007</v>
      </c>
      <c r="H1119" s="9">
        <v>-83.868633000000003</v>
      </c>
      <c r="I1119" s="7">
        <v>2780</v>
      </c>
      <c r="J1119" s="7" t="s">
        <v>329</v>
      </c>
      <c r="K1119" s="10">
        <v>41468</v>
      </c>
      <c r="L1119" s="10">
        <v>41478</v>
      </c>
      <c r="M1119" s="11">
        <f t="shared" si="68"/>
        <v>11</v>
      </c>
      <c r="N1119" s="11">
        <f t="shared" si="1"/>
        <v>11</v>
      </c>
      <c r="O1119" s="8"/>
      <c r="P1119" s="8" t="s">
        <v>623</v>
      </c>
      <c r="Q1119" s="34"/>
      <c r="R1119" s="34"/>
      <c r="S1119" s="34"/>
      <c r="T1119" s="34"/>
      <c r="U1119" s="34"/>
      <c r="V1119" s="34"/>
      <c r="W1119" s="34"/>
      <c r="X1119" s="34"/>
      <c r="Y1119" s="34"/>
      <c r="Z1119" s="34"/>
      <c r="AA1119" s="34"/>
    </row>
    <row r="1120" spans="1:27" ht="15.75" hidden="1" customHeight="1" x14ac:dyDescent="0.2">
      <c r="A1120" s="7" t="s">
        <v>134</v>
      </c>
      <c r="B1120" s="7" t="s">
        <v>621</v>
      </c>
      <c r="C1120" s="7" t="s">
        <v>622</v>
      </c>
      <c r="D1120" s="8" t="s">
        <v>626</v>
      </c>
      <c r="E1120" s="9">
        <v>186414</v>
      </c>
      <c r="F1120" s="9">
        <v>1074887</v>
      </c>
      <c r="G1120" s="9">
        <v>9.7119669999999996</v>
      </c>
      <c r="H1120" s="9">
        <v>-83.857699999999994</v>
      </c>
      <c r="I1120" s="7">
        <v>2344</v>
      </c>
      <c r="J1120" s="7" t="s">
        <v>329</v>
      </c>
      <c r="K1120" s="10">
        <v>42527</v>
      </c>
      <c r="L1120" s="10">
        <v>42558</v>
      </c>
      <c r="M1120" s="11">
        <f t="shared" si="68"/>
        <v>32</v>
      </c>
      <c r="N1120" s="11">
        <f t="shared" si="1"/>
        <v>32</v>
      </c>
      <c r="O1120" s="8" t="s">
        <v>62</v>
      </c>
      <c r="P1120" s="8" t="s">
        <v>626</v>
      </c>
      <c r="Q1120" s="34"/>
      <c r="R1120" s="34"/>
      <c r="S1120" s="34"/>
      <c r="T1120" s="34"/>
      <c r="U1120" s="34"/>
      <c r="V1120" s="34"/>
      <c r="W1120" s="34"/>
      <c r="X1120" s="34"/>
      <c r="Y1120" s="34"/>
      <c r="Z1120" s="34"/>
      <c r="AA1120" s="34"/>
    </row>
    <row r="1121" spans="1:27" ht="15.75" hidden="1" customHeight="1" x14ac:dyDescent="0.2">
      <c r="A1121" s="7" t="s">
        <v>193</v>
      </c>
      <c r="B1121" s="7" t="s">
        <v>621</v>
      </c>
      <c r="C1121" s="7" t="s">
        <v>622</v>
      </c>
      <c r="D1121" s="8" t="s">
        <v>626</v>
      </c>
      <c r="E1121" s="9">
        <v>186414</v>
      </c>
      <c r="F1121" s="9">
        <v>1074887</v>
      </c>
      <c r="G1121" s="9">
        <v>9.7119669999999996</v>
      </c>
      <c r="H1121" s="9">
        <v>-83.857699999999994</v>
      </c>
      <c r="I1121" s="7">
        <v>2344</v>
      </c>
      <c r="J1121" s="7" t="s">
        <v>329</v>
      </c>
      <c r="K1121" s="10">
        <v>41468</v>
      </c>
      <c r="L1121" s="10">
        <v>41482</v>
      </c>
      <c r="M1121" s="11">
        <f t="shared" si="68"/>
        <v>15</v>
      </c>
      <c r="N1121" s="11">
        <f t="shared" si="1"/>
        <v>15</v>
      </c>
      <c r="O1121" s="8"/>
      <c r="P1121" s="8" t="s">
        <v>626</v>
      </c>
      <c r="Q1121" s="34"/>
      <c r="R1121" s="34"/>
      <c r="S1121" s="34"/>
      <c r="T1121" s="34"/>
      <c r="U1121" s="34"/>
      <c r="V1121" s="34"/>
      <c r="W1121" s="34"/>
      <c r="X1121" s="34"/>
      <c r="Y1121" s="34"/>
      <c r="Z1121" s="34"/>
      <c r="AA1121" s="34"/>
    </row>
    <row r="1122" spans="1:27" ht="15.75" hidden="1" customHeight="1" x14ac:dyDescent="0.2">
      <c r="A1122" s="7" t="s">
        <v>193</v>
      </c>
      <c r="B1122" s="7" t="s">
        <v>621</v>
      </c>
      <c r="C1122" s="7" t="s">
        <v>641</v>
      </c>
      <c r="D1122" s="8" t="s">
        <v>643</v>
      </c>
      <c r="E1122" s="9">
        <v>186500</v>
      </c>
      <c r="F1122" s="9">
        <v>1075997</v>
      </c>
      <c r="G1122" s="9">
        <v>9.7174999999999994</v>
      </c>
      <c r="H1122" s="9">
        <v>-83.781032999999994</v>
      </c>
      <c r="I1122" s="7">
        <v>2090</v>
      </c>
      <c r="J1122" s="7" t="s">
        <v>26</v>
      </c>
      <c r="K1122" s="10">
        <v>41473</v>
      </c>
      <c r="L1122" s="10">
        <v>41473</v>
      </c>
      <c r="M1122" s="11">
        <f t="shared" si="68"/>
        <v>1</v>
      </c>
      <c r="N1122" s="11">
        <f t="shared" si="1"/>
        <v>1</v>
      </c>
      <c r="O1122" s="8"/>
      <c r="P1122" s="8" t="s">
        <v>634</v>
      </c>
      <c r="Q1122" s="34"/>
      <c r="R1122" s="34"/>
      <c r="S1122" s="34"/>
      <c r="T1122" s="34"/>
      <c r="U1122" s="34"/>
      <c r="V1122" s="34"/>
      <c r="W1122" s="34"/>
      <c r="X1122" s="34"/>
      <c r="Y1122" s="34"/>
      <c r="Z1122" s="34"/>
      <c r="AA1122" s="34"/>
    </row>
    <row r="1123" spans="1:27" ht="15.75" hidden="1" customHeight="1" x14ac:dyDescent="0.2">
      <c r="A1123" s="7" t="s">
        <v>193</v>
      </c>
      <c r="B1123" s="7" t="s">
        <v>621</v>
      </c>
      <c r="C1123" s="7" t="s">
        <v>641</v>
      </c>
      <c r="D1123" s="8" t="s">
        <v>637</v>
      </c>
      <c r="E1123" s="9">
        <v>186525</v>
      </c>
      <c r="F1123" s="9">
        <v>1075281</v>
      </c>
      <c r="G1123" s="9">
        <v>9.6963329999999992</v>
      </c>
      <c r="H1123" s="9">
        <v>-83.771366999999998</v>
      </c>
      <c r="I1123" s="7">
        <v>2240</v>
      </c>
      <c r="J1123" s="7" t="s">
        <v>26</v>
      </c>
      <c r="K1123" s="10">
        <v>41466</v>
      </c>
      <c r="L1123" s="10">
        <v>41483</v>
      </c>
      <c r="M1123" s="11">
        <f t="shared" si="68"/>
        <v>18</v>
      </c>
      <c r="N1123" s="11">
        <f t="shared" si="1"/>
        <v>18</v>
      </c>
      <c r="O1123" s="8"/>
      <c r="P1123" s="8" t="s">
        <v>637</v>
      </c>
      <c r="Q1123" s="34"/>
      <c r="R1123" s="34"/>
      <c r="S1123" s="34"/>
      <c r="T1123" s="34"/>
      <c r="U1123" s="34"/>
      <c r="V1123" s="34"/>
      <c r="W1123" s="34"/>
      <c r="X1123" s="34"/>
      <c r="Y1123" s="34"/>
      <c r="Z1123" s="34"/>
      <c r="AA1123" s="34"/>
    </row>
    <row r="1124" spans="1:27" ht="15.75" hidden="1" customHeight="1" x14ac:dyDescent="0.2">
      <c r="A1124" s="7" t="s">
        <v>193</v>
      </c>
      <c r="B1124" s="7" t="s">
        <v>621</v>
      </c>
      <c r="C1124" s="7" t="s">
        <v>641</v>
      </c>
      <c r="D1124" s="8" t="s">
        <v>642</v>
      </c>
      <c r="E1124" s="9">
        <v>186541</v>
      </c>
      <c r="F1124" s="9">
        <v>1076664</v>
      </c>
      <c r="G1124" s="9">
        <v>9.6953669999999992</v>
      </c>
      <c r="H1124" s="9">
        <v>-83.782083</v>
      </c>
      <c r="I1124" s="7">
        <v>2201</v>
      </c>
      <c r="J1124" s="7" t="s">
        <v>26</v>
      </c>
      <c r="K1124" s="10">
        <v>41464</v>
      </c>
      <c r="L1124" s="10">
        <v>41482</v>
      </c>
      <c r="M1124" s="11">
        <f t="shared" si="68"/>
        <v>19</v>
      </c>
      <c r="N1124" s="11">
        <f t="shared" si="1"/>
        <v>19</v>
      </c>
      <c r="O1124" s="8"/>
      <c r="P1124" s="8" t="s">
        <v>633</v>
      </c>
      <c r="Q1124" s="34"/>
      <c r="R1124" s="34"/>
      <c r="S1124" s="34"/>
      <c r="T1124" s="34"/>
      <c r="U1124" s="34"/>
      <c r="V1124" s="34"/>
      <c r="W1124" s="34"/>
      <c r="X1124" s="34"/>
      <c r="Y1124" s="34"/>
      <c r="Z1124" s="34"/>
      <c r="AA1124" s="34"/>
    </row>
    <row r="1125" spans="1:27" ht="15.75" hidden="1" customHeight="1" x14ac:dyDescent="0.2">
      <c r="A1125" s="7" t="s">
        <v>133</v>
      </c>
      <c r="B1125" s="7" t="s">
        <v>621</v>
      </c>
      <c r="C1125" s="7" t="s">
        <v>644</v>
      </c>
      <c r="D1125" s="8" t="s">
        <v>635</v>
      </c>
      <c r="E1125" s="9">
        <v>195024</v>
      </c>
      <c r="F1125" s="9">
        <v>1074245</v>
      </c>
      <c r="G1125" s="9">
        <v>9.7068670000000008</v>
      </c>
      <c r="H1125" s="9">
        <v>-83.779283000000007</v>
      </c>
      <c r="I1125" s="7">
        <v>1508</v>
      </c>
      <c r="J1125" s="7" t="s">
        <v>20</v>
      </c>
      <c r="K1125" s="10">
        <v>42164</v>
      </c>
      <c r="L1125" s="10">
        <v>42179</v>
      </c>
      <c r="M1125" s="11">
        <f t="shared" si="68"/>
        <v>16</v>
      </c>
      <c r="N1125" s="11">
        <f t="shared" si="1"/>
        <v>16</v>
      </c>
      <c r="O1125" s="8"/>
      <c r="P1125" s="8" t="s">
        <v>635</v>
      </c>
      <c r="Q1125" s="34"/>
      <c r="R1125" s="34"/>
      <c r="S1125" s="34"/>
      <c r="T1125" s="34"/>
      <c r="U1125" s="34"/>
      <c r="V1125" s="34"/>
      <c r="W1125" s="34"/>
      <c r="X1125" s="34"/>
      <c r="Y1125" s="34"/>
      <c r="Z1125" s="34"/>
      <c r="AA1125" s="34"/>
    </row>
    <row r="1126" spans="1:27" ht="15.75" hidden="1" customHeight="1" x14ac:dyDescent="0.2">
      <c r="A1126" s="7" t="s">
        <v>128</v>
      </c>
      <c r="B1126" s="7" t="s">
        <v>621</v>
      </c>
      <c r="C1126" s="7" t="s">
        <v>644</v>
      </c>
      <c r="D1126" s="8" t="s">
        <v>636</v>
      </c>
      <c r="E1126" s="9">
        <v>195370</v>
      </c>
      <c r="F1126" s="9">
        <v>1076694</v>
      </c>
      <c r="G1126" s="9">
        <v>9.7289600000000007</v>
      </c>
      <c r="H1126" s="9">
        <v>-83.77628</v>
      </c>
      <c r="I1126" s="7">
        <v>1541</v>
      </c>
      <c r="J1126" s="7"/>
      <c r="K1126" s="10">
        <v>42952</v>
      </c>
      <c r="L1126" s="10">
        <v>42985</v>
      </c>
      <c r="M1126" s="11">
        <v>0</v>
      </c>
      <c r="N1126" s="11">
        <f t="shared" si="1"/>
        <v>34</v>
      </c>
      <c r="O1126" s="8" t="s">
        <v>675</v>
      </c>
      <c r="P1126" s="8" t="s">
        <v>665</v>
      </c>
      <c r="Q1126" s="34"/>
      <c r="R1126" s="34"/>
      <c r="S1126" s="34"/>
      <c r="T1126" s="34"/>
      <c r="U1126" s="34"/>
      <c r="V1126" s="34"/>
      <c r="W1126" s="34"/>
      <c r="X1126" s="34"/>
      <c r="Y1126" s="34"/>
      <c r="Z1126" s="34"/>
      <c r="AA1126" s="34"/>
    </row>
    <row r="1127" spans="1:27" ht="15.75" hidden="1" customHeight="1" x14ac:dyDescent="0.2">
      <c r="A1127" s="7" t="s">
        <v>134</v>
      </c>
      <c r="B1127" s="7" t="s">
        <v>621</v>
      </c>
      <c r="C1127" s="7" t="s">
        <v>644</v>
      </c>
      <c r="D1127" s="8" t="s">
        <v>634</v>
      </c>
      <c r="E1127" s="9">
        <v>195024</v>
      </c>
      <c r="F1127" s="9">
        <v>1074243</v>
      </c>
      <c r="G1127" s="9">
        <v>9.7067920000000001</v>
      </c>
      <c r="H1127" s="9">
        <v>-83.779250000000005</v>
      </c>
      <c r="I1127" s="7">
        <v>1508</v>
      </c>
      <c r="J1127" s="7" t="s">
        <v>20</v>
      </c>
      <c r="K1127" s="10">
        <v>42557</v>
      </c>
      <c r="L1127" s="10">
        <v>42688</v>
      </c>
      <c r="M1127" s="11">
        <f>IF(ISBLANK(K1127),0,IF(ISBLANK(L1127),0,L1127-K1127+1))</f>
        <v>132</v>
      </c>
      <c r="N1127" s="11">
        <f t="shared" si="1"/>
        <v>132</v>
      </c>
      <c r="O1127" s="8"/>
      <c r="P1127" s="8" t="s">
        <v>654</v>
      </c>
      <c r="Q1127" s="34"/>
      <c r="R1127" s="34"/>
      <c r="S1127" s="34"/>
      <c r="T1127" s="34"/>
      <c r="U1127" s="34"/>
      <c r="V1127" s="34"/>
      <c r="W1127" s="34"/>
      <c r="X1127" s="34"/>
      <c r="Y1127" s="34"/>
      <c r="Z1127" s="34"/>
      <c r="AA1127" s="34"/>
    </row>
    <row r="1128" spans="1:27" ht="15.75" hidden="1" customHeight="1" x14ac:dyDescent="0.2">
      <c r="A1128" s="7" t="s">
        <v>134</v>
      </c>
      <c r="B1128" s="7" t="s">
        <v>621</v>
      </c>
      <c r="C1128" s="7" t="s">
        <v>644</v>
      </c>
      <c r="D1128" s="8" t="s">
        <v>634</v>
      </c>
      <c r="E1128" s="9">
        <v>195024</v>
      </c>
      <c r="F1128" s="9">
        <v>1074243</v>
      </c>
      <c r="G1128" s="9">
        <v>9.7067920000000001</v>
      </c>
      <c r="H1128" s="9">
        <v>-83.779250000000005</v>
      </c>
      <c r="I1128" s="7">
        <v>1508</v>
      </c>
      <c r="J1128" s="7" t="s">
        <v>20</v>
      </c>
      <c r="K1128" s="10">
        <v>42557</v>
      </c>
      <c r="L1128" s="10">
        <v>42688</v>
      </c>
      <c r="M1128" s="11">
        <v>0</v>
      </c>
      <c r="N1128" s="11">
        <f t="shared" si="1"/>
        <v>132</v>
      </c>
      <c r="O1128" s="8" t="s">
        <v>676</v>
      </c>
      <c r="P1128" s="8" t="s">
        <v>655</v>
      </c>
      <c r="Q1128" s="34"/>
      <c r="R1128" s="34"/>
      <c r="S1128" s="34"/>
      <c r="T1128" s="34"/>
      <c r="U1128" s="34"/>
      <c r="V1128" s="34"/>
      <c r="W1128" s="34"/>
      <c r="X1128" s="34"/>
      <c r="Y1128" s="34"/>
      <c r="Z1128" s="34"/>
      <c r="AA1128" s="34"/>
    </row>
    <row r="1129" spans="1:27" ht="15.75" hidden="1" customHeight="1" x14ac:dyDescent="0.2">
      <c r="A1129" s="7" t="s">
        <v>128</v>
      </c>
      <c r="B1129" s="7" t="s">
        <v>621</v>
      </c>
      <c r="C1129" s="7" t="s">
        <v>644</v>
      </c>
      <c r="D1129" s="8" t="s">
        <v>636</v>
      </c>
      <c r="E1129" s="9">
        <v>195370</v>
      </c>
      <c r="F1129" s="9">
        <v>1076694</v>
      </c>
      <c r="G1129" s="9">
        <v>9.7289600000000007</v>
      </c>
      <c r="H1129" s="9">
        <v>-83.77628</v>
      </c>
      <c r="I1129" s="7">
        <v>1541</v>
      </c>
      <c r="J1129" s="7"/>
      <c r="K1129" s="10">
        <v>42954</v>
      </c>
      <c r="L1129" s="10">
        <v>43033</v>
      </c>
      <c r="M1129" s="11">
        <v>17</v>
      </c>
      <c r="N1129" s="11">
        <f t="shared" si="1"/>
        <v>80</v>
      </c>
      <c r="O1129" s="8" t="s">
        <v>677</v>
      </c>
      <c r="P1129" s="8" t="s">
        <v>662</v>
      </c>
      <c r="Q1129" s="34"/>
      <c r="R1129" s="34"/>
      <c r="S1129" s="34"/>
      <c r="T1129" s="34"/>
      <c r="U1129" s="34"/>
      <c r="V1129" s="34"/>
      <c r="W1129" s="34"/>
      <c r="X1129" s="34"/>
      <c r="Y1129" s="34"/>
      <c r="Z1129" s="34"/>
      <c r="AA1129" s="34"/>
    </row>
    <row r="1130" spans="1:27" ht="15.75" hidden="1" customHeight="1" x14ac:dyDescent="0.2">
      <c r="A1130" s="7" t="s">
        <v>132</v>
      </c>
      <c r="B1130" s="7" t="s">
        <v>621</v>
      </c>
      <c r="C1130" s="7" t="s">
        <v>644</v>
      </c>
      <c r="D1130" s="8" t="s">
        <v>636</v>
      </c>
      <c r="E1130" s="9">
        <v>195370</v>
      </c>
      <c r="F1130" s="9">
        <v>1076694</v>
      </c>
      <c r="G1130" s="9">
        <v>9.7289600000000007</v>
      </c>
      <c r="H1130" s="9">
        <v>-83.77628</v>
      </c>
      <c r="I1130" s="7">
        <v>1541</v>
      </c>
      <c r="J1130" s="7"/>
      <c r="K1130" s="10">
        <v>43171</v>
      </c>
      <c r="L1130" s="10">
        <v>43173</v>
      </c>
      <c r="M1130" s="11">
        <f t="shared" ref="M1130:M1131" si="69">IF(ISBLANK(K1130),0,IF(ISBLANK(L1130),0,L1130-K1130+1))</f>
        <v>3</v>
      </c>
      <c r="N1130" s="11">
        <f t="shared" si="1"/>
        <v>3</v>
      </c>
      <c r="O1130" s="8" t="s">
        <v>678</v>
      </c>
      <c r="P1130" s="8" t="s">
        <v>665</v>
      </c>
      <c r="Q1130" s="34"/>
      <c r="R1130" s="34"/>
      <c r="S1130" s="34"/>
      <c r="T1130" s="34"/>
      <c r="U1130" s="34"/>
      <c r="V1130" s="34"/>
      <c r="W1130" s="34"/>
      <c r="X1130" s="34"/>
      <c r="Y1130" s="34"/>
      <c r="Z1130" s="34"/>
      <c r="AA1130" s="34"/>
    </row>
    <row r="1131" spans="1:27" ht="15.75" hidden="1" customHeight="1" x14ac:dyDescent="0.2">
      <c r="A1131" s="7" t="s">
        <v>134</v>
      </c>
      <c r="B1131" s="7" t="s">
        <v>621</v>
      </c>
      <c r="C1131" s="7" t="s">
        <v>644</v>
      </c>
      <c r="D1131" s="8" t="s">
        <v>635</v>
      </c>
      <c r="E1131" s="9">
        <v>197217</v>
      </c>
      <c r="F1131" s="9">
        <v>1072365</v>
      </c>
      <c r="G1131" s="9">
        <v>9.6899960000000007</v>
      </c>
      <c r="H1131" s="9">
        <v>-83.759139000000005</v>
      </c>
      <c r="I1131" s="7">
        <v>1685</v>
      </c>
      <c r="J1131" s="7" t="s">
        <v>20</v>
      </c>
      <c r="K1131" s="10">
        <v>42557</v>
      </c>
      <c r="L1131" s="10">
        <v>42641</v>
      </c>
      <c r="M1131" s="11">
        <f t="shared" si="69"/>
        <v>85</v>
      </c>
      <c r="N1131" s="11">
        <f t="shared" si="1"/>
        <v>85</v>
      </c>
      <c r="O1131" s="8"/>
      <c r="P1131" s="8" t="s">
        <v>656</v>
      </c>
      <c r="Q1131" s="34"/>
      <c r="R1131" s="34"/>
      <c r="S1131" s="34"/>
      <c r="T1131" s="34"/>
      <c r="U1131" s="34"/>
      <c r="V1131" s="34"/>
      <c r="W1131" s="34"/>
      <c r="X1131" s="34"/>
      <c r="Y1131" s="34"/>
      <c r="Z1131" s="34"/>
      <c r="AA1131" s="34"/>
    </row>
    <row r="1132" spans="1:27" ht="15.75" hidden="1" customHeight="1" x14ac:dyDescent="0.2">
      <c r="A1132" s="7" t="s">
        <v>134</v>
      </c>
      <c r="B1132" s="7" t="s">
        <v>621</v>
      </c>
      <c r="C1132" s="7" t="s">
        <v>644</v>
      </c>
      <c r="D1132" s="8" t="s">
        <v>635</v>
      </c>
      <c r="E1132" s="9">
        <v>197217</v>
      </c>
      <c r="F1132" s="9">
        <v>1072365</v>
      </c>
      <c r="G1132" s="9">
        <v>9.6899960000000007</v>
      </c>
      <c r="H1132" s="9">
        <v>-83.759139000000005</v>
      </c>
      <c r="I1132" s="7">
        <v>1685</v>
      </c>
      <c r="J1132" s="7" t="s">
        <v>20</v>
      </c>
      <c r="K1132" s="10">
        <v>42557</v>
      </c>
      <c r="L1132" s="10">
        <v>42641</v>
      </c>
      <c r="M1132" s="11">
        <v>0</v>
      </c>
      <c r="N1132" s="11">
        <f t="shared" si="1"/>
        <v>85</v>
      </c>
      <c r="O1132" s="8" t="s">
        <v>553</v>
      </c>
      <c r="P1132" s="8" t="s">
        <v>657</v>
      </c>
      <c r="Q1132" s="34"/>
      <c r="R1132" s="34"/>
      <c r="S1132" s="34"/>
      <c r="T1132" s="34"/>
      <c r="U1132" s="34"/>
      <c r="V1132" s="34"/>
      <c r="W1132" s="34"/>
      <c r="X1132" s="34"/>
      <c r="Y1132" s="34"/>
      <c r="Z1132" s="34"/>
      <c r="AA1132" s="34"/>
    </row>
    <row r="1133" spans="1:27" ht="15.75" hidden="1" customHeight="1" x14ac:dyDescent="0.2">
      <c r="A1133" s="7" t="s">
        <v>134</v>
      </c>
      <c r="B1133" s="7" t="s">
        <v>621</v>
      </c>
      <c r="C1133" s="7" t="s">
        <v>644</v>
      </c>
      <c r="D1133" s="8" t="s">
        <v>633</v>
      </c>
      <c r="E1133" s="9">
        <v>197753</v>
      </c>
      <c r="F1133" s="9">
        <v>1071996</v>
      </c>
      <c r="G1133" s="9">
        <v>9.6866970000000006</v>
      </c>
      <c r="H1133" s="9">
        <v>-83.754238000000001</v>
      </c>
      <c r="I1133" s="7">
        <v>1667</v>
      </c>
      <c r="J1133" s="7" t="s">
        <v>20</v>
      </c>
      <c r="K1133" s="10">
        <v>42389</v>
      </c>
      <c r="L1133" s="10">
        <v>42682</v>
      </c>
      <c r="M1133" s="11">
        <f>IF(ISBLANK(K1133),0,IF(ISBLANK(L1133),0,L1133-K1133+1))</f>
        <v>294</v>
      </c>
      <c r="N1133" s="11">
        <f t="shared" si="1"/>
        <v>294</v>
      </c>
      <c r="O1133" s="8"/>
      <c r="P1133" s="8" t="s">
        <v>658</v>
      </c>
      <c r="Q1133" s="34"/>
      <c r="R1133" s="34"/>
      <c r="S1133" s="34"/>
      <c r="T1133" s="34"/>
      <c r="U1133" s="34"/>
      <c r="V1133" s="34"/>
      <c r="W1133" s="34"/>
      <c r="X1133" s="34"/>
      <c r="Y1133" s="34"/>
      <c r="Z1133" s="34"/>
      <c r="AA1133" s="34"/>
    </row>
    <row r="1134" spans="1:27" ht="15.75" hidden="1" customHeight="1" x14ac:dyDescent="0.2">
      <c r="A1134" s="7" t="s">
        <v>134</v>
      </c>
      <c r="B1134" s="7" t="s">
        <v>621</v>
      </c>
      <c r="C1134" s="7" t="s">
        <v>644</v>
      </c>
      <c r="D1134" s="8" t="s">
        <v>633</v>
      </c>
      <c r="E1134" s="9">
        <v>197753</v>
      </c>
      <c r="F1134" s="9">
        <v>1071996</v>
      </c>
      <c r="G1134" s="9">
        <v>9.6866970000000006</v>
      </c>
      <c r="H1134" s="9">
        <v>-83.754238000000001</v>
      </c>
      <c r="I1134" s="7">
        <v>1667</v>
      </c>
      <c r="J1134" s="7" t="s">
        <v>20</v>
      </c>
      <c r="K1134" s="10">
        <v>42389</v>
      </c>
      <c r="L1134" s="10">
        <v>42682</v>
      </c>
      <c r="M1134" s="11">
        <v>0</v>
      </c>
      <c r="N1134" s="11">
        <f t="shared" si="1"/>
        <v>294</v>
      </c>
      <c r="O1134" s="8" t="s">
        <v>679</v>
      </c>
      <c r="P1134" s="8" t="s">
        <v>659</v>
      </c>
      <c r="Q1134" s="34"/>
      <c r="R1134" s="34"/>
      <c r="S1134" s="34"/>
      <c r="T1134" s="34"/>
      <c r="U1134" s="34"/>
      <c r="V1134" s="34"/>
      <c r="W1134" s="34"/>
      <c r="X1134" s="34"/>
      <c r="Y1134" s="34"/>
      <c r="Z1134" s="34"/>
      <c r="AA1134" s="34"/>
    </row>
    <row r="1135" spans="1:27" ht="15" hidden="1" customHeight="1" x14ac:dyDescent="0.2">
      <c r="A1135" s="7" t="s">
        <v>186</v>
      </c>
      <c r="B1135" s="7" t="s">
        <v>621</v>
      </c>
      <c r="C1135" s="7" t="s">
        <v>644</v>
      </c>
      <c r="D1135" s="8" t="s">
        <v>634</v>
      </c>
      <c r="E1135" s="9">
        <v>195024</v>
      </c>
      <c r="F1135" s="9">
        <v>1074242</v>
      </c>
      <c r="G1135" s="9">
        <v>9.7067899999999998</v>
      </c>
      <c r="H1135" s="9">
        <v>-83.779250000000005</v>
      </c>
      <c r="I1135" s="7">
        <v>1508</v>
      </c>
      <c r="J1135" s="7"/>
      <c r="K1135" s="10">
        <v>42688</v>
      </c>
      <c r="L1135" s="10">
        <v>42896</v>
      </c>
      <c r="M1135" s="11">
        <f t="shared" ref="M1135:M1142" si="70">IF(ISBLANK(K1135),0,IF(ISBLANK(L1135),0,L1135-K1135+1))</f>
        <v>209</v>
      </c>
      <c r="N1135" s="11">
        <f t="shared" si="1"/>
        <v>209</v>
      </c>
      <c r="O1135" s="8"/>
      <c r="P1135" s="8" t="s">
        <v>654</v>
      </c>
      <c r="Q1135" s="7"/>
    </row>
    <row r="1136" spans="1:27" ht="15" hidden="1" customHeight="1" x14ac:dyDescent="0.2">
      <c r="A1136" s="7" t="s">
        <v>186</v>
      </c>
      <c r="B1136" s="7" t="s">
        <v>621</v>
      </c>
      <c r="C1136" s="7" t="s">
        <v>644</v>
      </c>
      <c r="D1136" s="8" t="s">
        <v>634</v>
      </c>
      <c r="E1136" s="9">
        <v>195024</v>
      </c>
      <c r="F1136" s="9">
        <v>1074242</v>
      </c>
      <c r="G1136" s="9">
        <v>9.7067899999999998</v>
      </c>
      <c r="H1136" s="9">
        <v>-83.779250000000005</v>
      </c>
      <c r="I1136" s="7">
        <v>1508</v>
      </c>
      <c r="J1136" s="7"/>
      <c r="K1136" s="7"/>
      <c r="L1136" s="7"/>
      <c r="M1136" s="11">
        <f t="shared" si="70"/>
        <v>0</v>
      </c>
      <c r="N1136" s="11">
        <f t="shared" si="1"/>
        <v>0</v>
      </c>
      <c r="O1136" s="8"/>
      <c r="P1136" s="8" t="s">
        <v>655</v>
      </c>
      <c r="Q1136" s="7"/>
      <c r="R1136" s="7"/>
    </row>
    <row r="1137" spans="1:27" ht="15" hidden="1" customHeight="1" x14ac:dyDescent="0.2">
      <c r="A1137" s="7" t="s">
        <v>186</v>
      </c>
      <c r="B1137" s="7" t="s">
        <v>621</v>
      </c>
      <c r="C1137" s="7" t="s">
        <v>644</v>
      </c>
      <c r="D1137" s="8" t="s">
        <v>634</v>
      </c>
      <c r="E1137" s="9">
        <v>195024</v>
      </c>
      <c r="F1137" s="9">
        <v>1074242</v>
      </c>
      <c r="G1137" s="9">
        <v>9.7067899999999998</v>
      </c>
      <c r="H1137" s="9">
        <v>-83.779250000000005</v>
      </c>
      <c r="I1137" s="7">
        <v>1508</v>
      </c>
      <c r="J1137" s="7"/>
      <c r="K1137" s="10">
        <v>42896</v>
      </c>
      <c r="L1137" s="10">
        <v>42951</v>
      </c>
      <c r="M1137" s="11">
        <f t="shared" si="70"/>
        <v>56</v>
      </c>
      <c r="N1137" s="11">
        <f t="shared" si="1"/>
        <v>56</v>
      </c>
      <c r="O1137" s="8"/>
      <c r="P1137" s="8" t="s">
        <v>654</v>
      </c>
      <c r="Q1137" s="7"/>
    </row>
    <row r="1138" spans="1:27" ht="15" hidden="1" customHeight="1" x14ac:dyDescent="0.2">
      <c r="A1138" s="7" t="s">
        <v>186</v>
      </c>
      <c r="B1138" s="7" t="s">
        <v>621</v>
      </c>
      <c r="C1138" s="7" t="s">
        <v>644</v>
      </c>
      <c r="D1138" s="8" t="s">
        <v>634</v>
      </c>
      <c r="E1138" s="9">
        <v>195024</v>
      </c>
      <c r="F1138" s="9">
        <v>1074242</v>
      </c>
      <c r="G1138" s="9">
        <v>9.7067899999999998</v>
      </c>
      <c r="H1138" s="9">
        <v>-83.779250000000005</v>
      </c>
      <c r="I1138" s="7">
        <v>1508</v>
      </c>
      <c r="J1138" s="7"/>
      <c r="K1138" s="7"/>
      <c r="L1138" s="7"/>
      <c r="M1138" s="11">
        <f t="shared" si="70"/>
        <v>0</v>
      </c>
      <c r="N1138" s="11">
        <f t="shared" si="1"/>
        <v>0</v>
      </c>
      <c r="O1138" s="8"/>
      <c r="P1138" s="8" t="s">
        <v>655</v>
      </c>
    </row>
    <row r="1139" spans="1:27" ht="15" hidden="1" customHeight="1" x14ac:dyDescent="0.2">
      <c r="A1139" s="7" t="s">
        <v>132</v>
      </c>
      <c r="B1139" s="7" t="s">
        <v>621</v>
      </c>
      <c r="C1139" s="7"/>
      <c r="D1139" s="8" t="s">
        <v>636</v>
      </c>
      <c r="E1139" s="9" t="s">
        <v>680</v>
      </c>
      <c r="F1139" s="9">
        <v>1075429.69</v>
      </c>
      <c r="G1139" s="9">
        <v>9.7175028000000001</v>
      </c>
      <c r="H1139" s="9">
        <v>-83.781037600000005</v>
      </c>
      <c r="I1139" s="7">
        <v>1564</v>
      </c>
      <c r="J1139" s="7"/>
      <c r="K1139" s="10">
        <v>43203</v>
      </c>
      <c r="L1139" s="10">
        <v>43307</v>
      </c>
      <c r="M1139" s="11">
        <f t="shared" si="70"/>
        <v>105</v>
      </c>
      <c r="N1139" s="11">
        <f t="shared" si="1"/>
        <v>105</v>
      </c>
      <c r="O1139" s="8"/>
      <c r="P1139" s="8" t="s">
        <v>662</v>
      </c>
    </row>
    <row r="1140" spans="1:27" ht="15" hidden="1" customHeight="1" x14ac:dyDescent="0.2">
      <c r="A1140" s="7" t="s">
        <v>132</v>
      </c>
      <c r="B1140" s="7" t="s">
        <v>621</v>
      </c>
      <c r="C1140" s="7"/>
      <c r="D1140" s="8" t="s">
        <v>636</v>
      </c>
      <c r="E1140" s="9">
        <v>195369.64</v>
      </c>
      <c r="F1140" s="9">
        <v>1076646.05</v>
      </c>
      <c r="G1140" s="9">
        <v>9.7285307999999997</v>
      </c>
      <c r="H1140" s="9">
        <v>-83.776281999999995</v>
      </c>
      <c r="I1140" s="7">
        <v>1541</v>
      </c>
      <c r="J1140" s="7"/>
      <c r="K1140" s="10">
        <v>43312</v>
      </c>
      <c r="L1140" s="10">
        <v>43312</v>
      </c>
      <c r="M1140" s="11">
        <f t="shared" si="70"/>
        <v>1</v>
      </c>
      <c r="N1140" s="11">
        <f t="shared" si="1"/>
        <v>1</v>
      </c>
      <c r="O1140" s="8" t="s">
        <v>681</v>
      </c>
      <c r="P1140" s="8" t="s">
        <v>665</v>
      </c>
    </row>
    <row r="1141" spans="1:27" ht="15" hidden="1" customHeight="1" x14ac:dyDescent="0.2">
      <c r="A1141" s="7" t="s">
        <v>132</v>
      </c>
      <c r="B1141" s="7" t="s">
        <v>621</v>
      </c>
      <c r="C1141" s="7" t="s">
        <v>644</v>
      </c>
      <c r="D1141" s="8" t="s">
        <v>636</v>
      </c>
      <c r="E1141" s="9">
        <v>195370</v>
      </c>
      <c r="F1141" s="9">
        <v>1076694</v>
      </c>
      <c r="G1141" s="9">
        <v>9.7289600000000007</v>
      </c>
      <c r="H1141" s="9">
        <v>-83.77628</v>
      </c>
      <c r="I1141" s="7">
        <v>1541</v>
      </c>
      <c r="J1141" s="7"/>
      <c r="K1141" s="7"/>
      <c r="L1141" s="7"/>
      <c r="M1141" s="11">
        <f t="shared" si="70"/>
        <v>0</v>
      </c>
      <c r="N1141" s="11">
        <f t="shared" si="1"/>
        <v>0</v>
      </c>
      <c r="O1141" s="8"/>
      <c r="P1141" s="8" t="s">
        <v>662</v>
      </c>
    </row>
    <row r="1142" spans="1:27" ht="15" hidden="1" customHeight="1" x14ac:dyDescent="0.2">
      <c r="A1142" s="7" t="s">
        <v>186</v>
      </c>
      <c r="B1142" s="7" t="s">
        <v>621</v>
      </c>
      <c r="C1142" s="7" t="s">
        <v>644</v>
      </c>
      <c r="D1142" s="8" t="s">
        <v>636</v>
      </c>
      <c r="E1142" s="9">
        <v>195370</v>
      </c>
      <c r="F1142" s="9">
        <v>1076694</v>
      </c>
      <c r="G1142" s="9">
        <v>9.7289600000000007</v>
      </c>
      <c r="H1142" s="9">
        <v>-83.77628</v>
      </c>
      <c r="I1142" s="7">
        <v>1541</v>
      </c>
      <c r="J1142" s="7"/>
      <c r="K1142" s="7"/>
      <c r="L1142" s="7"/>
      <c r="M1142" s="11">
        <f t="shared" si="70"/>
        <v>0</v>
      </c>
      <c r="N1142" s="11">
        <f t="shared" si="1"/>
        <v>0</v>
      </c>
      <c r="O1142" s="8"/>
      <c r="P1142" s="8" t="s">
        <v>665</v>
      </c>
    </row>
    <row r="1143" spans="1:27" ht="15" hidden="1" customHeight="1" x14ac:dyDescent="0.2">
      <c r="A1143" s="7" t="s">
        <v>186</v>
      </c>
      <c r="B1143" s="7" t="s">
        <v>621</v>
      </c>
      <c r="C1143" s="7" t="s">
        <v>644</v>
      </c>
      <c r="D1143" s="8" t="s">
        <v>635</v>
      </c>
      <c r="E1143" s="9">
        <v>197217</v>
      </c>
      <c r="F1143" s="9">
        <v>1072366</v>
      </c>
      <c r="G1143" s="9">
        <v>9.69</v>
      </c>
      <c r="H1143" s="9">
        <v>-83.759140000000002</v>
      </c>
      <c r="I1143" s="7">
        <v>1685</v>
      </c>
      <c r="J1143" s="7"/>
      <c r="K1143" s="10">
        <v>42870</v>
      </c>
      <c r="L1143" s="10">
        <v>42884</v>
      </c>
      <c r="M1143" s="11">
        <v>0</v>
      </c>
      <c r="N1143" s="11">
        <f t="shared" si="1"/>
        <v>15</v>
      </c>
      <c r="O1143" s="8" t="s">
        <v>682</v>
      </c>
      <c r="P1143" s="8" t="s">
        <v>656</v>
      </c>
    </row>
    <row r="1144" spans="1:27" ht="15" hidden="1" customHeight="1" x14ac:dyDescent="0.2">
      <c r="A1144" s="7" t="s">
        <v>186</v>
      </c>
      <c r="B1144" s="7" t="s">
        <v>621</v>
      </c>
      <c r="C1144" s="7" t="s">
        <v>644</v>
      </c>
      <c r="D1144" s="8" t="s">
        <v>635</v>
      </c>
      <c r="E1144" s="9">
        <v>197217</v>
      </c>
      <c r="F1144" s="9">
        <v>1072366</v>
      </c>
      <c r="G1144" s="9">
        <v>9.69</v>
      </c>
      <c r="H1144" s="9">
        <v>-83.759140000000002</v>
      </c>
      <c r="I1144" s="7">
        <v>1685</v>
      </c>
      <c r="J1144" s="7"/>
      <c r="K1144" s="10">
        <v>42870</v>
      </c>
      <c r="L1144" s="10">
        <v>42914</v>
      </c>
      <c r="M1144" s="11">
        <f>IF(ISBLANK(K1144),0,IF(ISBLANK(L1144),0,L1144-K1144+1))</f>
        <v>45</v>
      </c>
      <c r="N1144" s="11">
        <f t="shared" si="1"/>
        <v>45</v>
      </c>
      <c r="O1144" s="8" t="s">
        <v>683</v>
      </c>
      <c r="P1144" s="8" t="s">
        <v>657</v>
      </c>
    </row>
    <row r="1145" spans="1:27" ht="15" hidden="1" customHeight="1" x14ac:dyDescent="0.2">
      <c r="A1145" s="7" t="s">
        <v>186</v>
      </c>
      <c r="B1145" s="7" t="s">
        <v>621</v>
      </c>
      <c r="C1145" s="7" t="s">
        <v>644</v>
      </c>
      <c r="D1145" s="8" t="s">
        <v>635</v>
      </c>
      <c r="E1145" s="9">
        <v>197217</v>
      </c>
      <c r="F1145" s="9">
        <v>1072366</v>
      </c>
      <c r="G1145" s="9">
        <v>9.69</v>
      </c>
      <c r="H1145" s="9">
        <v>-83.759140000000002</v>
      </c>
      <c r="I1145" s="7">
        <v>1685</v>
      </c>
      <c r="J1145" s="7"/>
      <c r="K1145" s="10">
        <v>42896</v>
      </c>
      <c r="L1145" s="10">
        <v>42914</v>
      </c>
      <c r="M1145" s="11">
        <v>0</v>
      </c>
      <c r="N1145" s="11">
        <f t="shared" si="1"/>
        <v>19</v>
      </c>
      <c r="O1145" s="8" t="s">
        <v>684</v>
      </c>
      <c r="P1145" s="8" t="s">
        <v>656</v>
      </c>
    </row>
    <row r="1146" spans="1:27" ht="15" hidden="1" customHeight="1" x14ac:dyDescent="0.2">
      <c r="A1146" s="7" t="s">
        <v>186</v>
      </c>
      <c r="B1146" s="7" t="s">
        <v>621</v>
      </c>
      <c r="C1146" s="7" t="s">
        <v>644</v>
      </c>
      <c r="D1146" s="8" t="s">
        <v>635</v>
      </c>
      <c r="E1146" s="9">
        <v>197217</v>
      </c>
      <c r="F1146" s="9">
        <v>1072366</v>
      </c>
      <c r="G1146" s="9">
        <v>9.69</v>
      </c>
      <c r="H1146" s="9">
        <v>-83.759140000000002</v>
      </c>
      <c r="I1146" s="7">
        <v>1685</v>
      </c>
      <c r="J1146" s="7"/>
      <c r="K1146" s="7"/>
      <c r="L1146" s="7"/>
      <c r="M1146" s="11">
        <f t="shared" ref="M1146:M1147" si="71">IF(ISBLANK(K1146),0,IF(ISBLANK(L1146),0,L1146-K1146+1))</f>
        <v>0</v>
      </c>
      <c r="N1146" s="11">
        <f t="shared" si="1"/>
        <v>0</v>
      </c>
      <c r="O1146" s="8"/>
      <c r="P1146" s="8" t="s">
        <v>657</v>
      </c>
    </row>
    <row r="1147" spans="1:27" ht="15" hidden="1" customHeight="1" x14ac:dyDescent="0.2">
      <c r="A1147" s="7" t="s">
        <v>186</v>
      </c>
      <c r="B1147" s="7" t="s">
        <v>621</v>
      </c>
      <c r="C1147" s="7" t="s">
        <v>644</v>
      </c>
      <c r="D1147" s="8" t="s">
        <v>633</v>
      </c>
      <c r="E1147" s="9">
        <v>197752</v>
      </c>
      <c r="F1147" s="9">
        <v>1071996</v>
      </c>
      <c r="G1147" s="9">
        <v>9.6867000000000001</v>
      </c>
      <c r="H1147" s="9">
        <v>-83.754239999999996</v>
      </c>
      <c r="I1147" s="7">
        <v>1667</v>
      </c>
      <c r="J1147" s="7"/>
      <c r="K1147" s="10">
        <v>42682</v>
      </c>
      <c r="L1147" s="10">
        <v>42951</v>
      </c>
      <c r="M1147" s="11">
        <f t="shared" si="71"/>
        <v>270</v>
      </c>
      <c r="N1147" s="11">
        <f t="shared" si="1"/>
        <v>270</v>
      </c>
      <c r="O1147" s="8" t="s">
        <v>685</v>
      </c>
      <c r="P1147" s="8" t="s">
        <v>658</v>
      </c>
    </row>
    <row r="1148" spans="1:27" ht="15" hidden="1" customHeight="1" x14ac:dyDescent="0.2">
      <c r="A1148" s="7" t="s">
        <v>186</v>
      </c>
      <c r="B1148" s="7" t="s">
        <v>621</v>
      </c>
      <c r="C1148" s="7" t="s">
        <v>644</v>
      </c>
      <c r="D1148" s="8" t="s">
        <v>633</v>
      </c>
      <c r="E1148" s="9">
        <v>197752</v>
      </c>
      <c r="F1148" s="9">
        <v>1071996</v>
      </c>
      <c r="G1148" s="9">
        <v>9.6867000000000001</v>
      </c>
      <c r="H1148" s="9">
        <v>-83.754239999999996</v>
      </c>
      <c r="I1148" s="7">
        <v>1667</v>
      </c>
      <c r="J1148" s="7"/>
      <c r="K1148" s="10">
        <v>42682</v>
      </c>
      <c r="L1148" s="10">
        <v>42896</v>
      </c>
      <c r="M1148" s="11">
        <v>0</v>
      </c>
      <c r="N1148" s="11">
        <f t="shared" si="1"/>
        <v>215</v>
      </c>
      <c r="O1148" s="8" t="s">
        <v>686</v>
      </c>
      <c r="P1148" s="8" t="s">
        <v>659</v>
      </c>
    </row>
    <row r="1149" spans="1:27" ht="15" hidden="1" customHeight="1" x14ac:dyDescent="0.2">
      <c r="A1149" s="7" t="s">
        <v>186</v>
      </c>
      <c r="B1149" s="7" t="s">
        <v>621</v>
      </c>
      <c r="C1149" s="7" t="s">
        <v>644</v>
      </c>
      <c r="D1149" s="8" t="s">
        <v>633</v>
      </c>
      <c r="E1149" s="9">
        <v>197752</v>
      </c>
      <c r="F1149" s="9">
        <v>1071996</v>
      </c>
      <c r="G1149" s="9">
        <v>9.6867000000000001</v>
      </c>
      <c r="H1149" s="9">
        <v>-83.754239999999996</v>
      </c>
      <c r="I1149" s="7">
        <v>1667</v>
      </c>
      <c r="J1149" s="7"/>
      <c r="K1149" s="10">
        <v>42896</v>
      </c>
      <c r="L1149" s="10">
        <v>42951</v>
      </c>
      <c r="M1149" s="11">
        <v>0</v>
      </c>
      <c r="N1149" s="11">
        <f t="shared" si="1"/>
        <v>56</v>
      </c>
      <c r="O1149" s="8" t="s">
        <v>687</v>
      </c>
      <c r="P1149" s="8" t="s">
        <v>658</v>
      </c>
    </row>
    <row r="1150" spans="1:27" ht="15" hidden="1" customHeight="1" x14ac:dyDescent="0.2">
      <c r="A1150" s="7" t="s">
        <v>186</v>
      </c>
      <c r="B1150" s="7" t="s">
        <v>621</v>
      </c>
      <c r="C1150" s="7" t="s">
        <v>644</v>
      </c>
      <c r="D1150" s="8" t="s">
        <v>633</v>
      </c>
      <c r="E1150" s="9">
        <v>197752</v>
      </c>
      <c r="F1150" s="9">
        <v>1071996</v>
      </c>
      <c r="G1150" s="9">
        <v>9.6867000000000001</v>
      </c>
      <c r="H1150" s="9">
        <v>-83.754239999999996</v>
      </c>
      <c r="I1150" s="7">
        <v>1667</v>
      </c>
      <c r="J1150" s="7"/>
      <c r="K1150" s="10">
        <v>42896</v>
      </c>
      <c r="L1150" s="10">
        <v>42951</v>
      </c>
      <c r="M1150" s="11">
        <v>0</v>
      </c>
      <c r="N1150" s="11">
        <f t="shared" si="1"/>
        <v>56</v>
      </c>
      <c r="O1150" s="8" t="s">
        <v>688</v>
      </c>
      <c r="P1150" s="8" t="s">
        <v>659</v>
      </c>
    </row>
    <row r="1151" spans="1:27" ht="15" hidden="1" customHeight="1" x14ac:dyDescent="0.2">
      <c r="A1151" s="7" t="s">
        <v>651</v>
      </c>
      <c r="B1151" s="7" t="s">
        <v>621</v>
      </c>
      <c r="C1151" s="7" t="s">
        <v>622</v>
      </c>
      <c r="D1151" s="8" t="s">
        <v>623</v>
      </c>
      <c r="E1151" s="9"/>
      <c r="F1151" s="9"/>
      <c r="G1151" s="9">
        <v>9.6872000000000007</v>
      </c>
      <c r="H1151" s="9">
        <v>-83.868600000000001</v>
      </c>
      <c r="I1151" s="7">
        <v>2780</v>
      </c>
      <c r="J1151" s="7"/>
      <c r="K1151" s="10">
        <v>42229</v>
      </c>
      <c r="L1151" s="10">
        <v>42334</v>
      </c>
      <c r="M1151" s="11">
        <f t="shared" ref="M1151:M1177" si="72">IF(ISBLANK(K1151),0,IF(ISBLANK(L1151),0,L1151-K1151+1))</f>
        <v>106</v>
      </c>
      <c r="N1151" s="11">
        <f t="shared" si="1"/>
        <v>106</v>
      </c>
      <c r="O1151" s="8" t="s">
        <v>62</v>
      </c>
      <c r="P1151" s="8" t="s">
        <v>689</v>
      </c>
      <c r="Q1151" s="7"/>
      <c r="R1151" s="7"/>
      <c r="S1151" s="7"/>
      <c r="T1151" s="7"/>
      <c r="U1151" s="7"/>
      <c r="V1151" s="7"/>
      <c r="W1151" s="7"/>
      <c r="X1151" s="7"/>
      <c r="Y1151" s="7"/>
      <c r="Z1151" s="7"/>
      <c r="AA1151" s="7"/>
    </row>
    <row r="1152" spans="1:27" ht="15" hidden="1" customHeight="1" x14ac:dyDescent="0.2">
      <c r="A1152" s="7" t="s">
        <v>186</v>
      </c>
      <c r="B1152" s="7" t="s">
        <v>621</v>
      </c>
      <c r="C1152" s="7" t="s">
        <v>622</v>
      </c>
      <c r="D1152" s="8" t="s">
        <v>623</v>
      </c>
      <c r="E1152" s="9"/>
      <c r="F1152" s="9"/>
      <c r="G1152" s="9">
        <v>9.6872000000000007</v>
      </c>
      <c r="H1152" s="9">
        <v>-83.868600000000001</v>
      </c>
      <c r="I1152" s="7">
        <v>2780</v>
      </c>
      <c r="J1152" s="7"/>
      <c r="K1152" s="10">
        <v>42828</v>
      </c>
      <c r="L1152" s="10">
        <v>42891</v>
      </c>
      <c r="M1152" s="11">
        <f t="shared" si="72"/>
        <v>64</v>
      </c>
      <c r="N1152" s="11">
        <f t="shared" si="1"/>
        <v>64</v>
      </c>
      <c r="O1152" s="8"/>
      <c r="P1152" s="8" t="s">
        <v>689</v>
      </c>
    </row>
    <row r="1153" spans="1:27" ht="15" hidden="1" customHeight="1" x14ac:dyDescent="0.2">
      <c r="A1153" s="7" t="s">
        <v>165</v>
      </c>
      <c r="B1153" s="7" t="s">
        <v>690</v>
      </c>
      <c r="C1153" s="7" t="s">
        <v>690</v>
      </c>
      <c r="D1153" s="8" t="s">
        <v>691</v>
      </c>
      <c r="E1153" s="9">
        <v>204838</v>
      </c>
      <c r="F1153" s="9">
        <v>1057687</v>
      </c>
      <c r="G1153" s="9">
        <v>9.557931</v>
      </c>
      <c r="H1153" s="9">
        <v>-83.688699</v>
      </c>
      <c r="I1153" s="7">
        <v>2803</v>
      </c>
      <c r="J1153" s="7" t="s">
        <v>26</v>
      </c>
      <c r="K1153" s="10">
        <v>42560</v>
      </c>
      <c r="L1153" s="10">
        <v>42878</v>
      </c>
      <c r="M1153" s="11">
        <f t="shared" si="72"/>
        <v>319</v>
      </c>
      <c r="N1153" s="11">
        <f t="shared" si="1"/>
        <v>319</v>
      </c>
      <c r="O1153" s="8" t="s">
        <v>62</v>
      </c>
      <c r="P1153" s="8" t="s">
        <v>691</v>
      </c>
      <c r="Q1153" s="7"/>
      <c r="R1153" s="7"/>
      <c r="S1153" s="7"/>
      <c r="T1153" s="7"/>
      <c r="U1153" s="7"/>
      <c r="V1153" s="7"/>
      <c r="W1153" s="7"/>
      <c r="X1153" s="7"/>
      <c r="Y1153" s="7"/>
      <c r="Z1153" s="7"/>
      <c r="AA1153" s="7"/>
    </row>
    <row r="1154" spans="1:27" ht="15" hidden="1" customHeight="1" x14ac:dyDescent="0.2">
      <c r="A1154" s="7" t="s">
        <v>36</v>
      </c>
      <c r="B1154" s="7" t="s">
        <v>690</v>
      </c>
      <c r="C1154" s="7" t="s">
        <v>690</v>
      </c>
      <c r="D1154" s="8" t="s">
        <v>691</v>
      </c>
      <c r="E1154" s="9">
        <v>204838</v>
      </c>
      <c r="F1154" s="9">
        <v>1057687</v>
      </c>
      <c r="G1154" s="9">
        <v>9.557931</v>
      </c>
      <c r="H1154" s="9">
        <v>-83.688699</v>
      </c>
      <c r="I1154" s="7">
        <v>2803</v>
      </c>
      <c r="J1154" s="7" t="s">
        <v>26</v>
      </c>
      <c r="K1154" s="10">
        <v>41848</v>
      </c>
      <c r="L1154" s="10">
        <v>41916</v>
      </c>
      <c r="M1154" s="11">
        <f t="shared" si="72"/>
        <v>69</v>
      </c>
      <c r="N1154" s="11">
        <f t="shared" si="1"/>
        <v>69</v>
      </c>
      <c r="O1154" s="8"/>
      <c r="P1154" s="8" t="s">
        <v>691</v>
      </c>
    </row>
    <row r="1155" spans="1:27" ht="15" hidden="1" customHeight="1" x14ac:dyDescent="0.2">
      <c r="A1155" s="7" t="s">
        <v>36</v>
      </c>
      <c r="B1155" s="7" t="s">
        <v>690</v>
      </c>
      <c r="C1155" s="7" t="s">
        <v>690</v>
      </c>
      <c r="D1155" s="8" t="s">
        <v>692</v>
      </c>
      <c r="E1155" s="9">
        <v>205214</v>
      </c>
      <c r="F1155" s="9">
        <v>1057596</v>
      </c>
      <c r="G1155" s="9">
        <v>9.5571350000000006</v>
      </c>
      <c r="H1155" s="9">
        <v>-83.685270000000003</v>
      </c>
      <c r="I1155" s="7">
        <v>2768</v>
      </c>
      <c r="J1155" s="7" t="s">
        <v>26</v>
      </c>
      <c r="K1155" s="10">
        <v>41857</v>
      </c>
      <c r="L1155" s="10">
        <v>42010</v>
      </c>
      <c r="M1155" s="11">
        <f t="shared" si="72"/>
        <v>154</v>
      </c>
      <c r="N1155" s="11">
        <f t="shared" si="1"/>
        <v>154</v>
      </c>
      <c r="O1155" s="8"/>
      <c r="P1155" s="8" t="s">
        <v>692</v>
      </c>
    </row>
    <row r="1156" spans="1:27" ht="15" hidden="1" customHeight="1" x14ac:dyDescent="0.2">
      <c r="A1156" s="7" t="s">
        <v>47</v>
      </c>
      <c r="B1156" s="7" t="s">
        <v>690</v>
      </c>
      <c r="C1156" s="7" t="s">
        <v>690</v>
      </c>
      <c r="D1156" s="8" t="s">
        <v>693</v>
      </c>
      <c r="E1156" s="9">
        <v>204853</v>
      </c>
      <c r="F1156" s="9">
        <v>1057969</v>
      </c>
      <c r="G1156" s="9">
        <v>9.5604790000000008</v>
      </c>
      <c r="H1156" s="9">
        <v>-83.688582999999994</v>
      </c>
      <c r="I1156" s="7">
        <v>2780</v>
      </c>
      <c r="J1156" s="7" t="s">
        <v>26</v>
      </c>
      <c r="K1156" s="10">
        <v>42145</v>
      </c>
      <c r="L1156" s="10">
        <v>42183</v>
      </c>
      <c r="M1156" s="11">
        <f t="shared" si="72"/>
        <v>39</v>
      </c>
      <c r="N1156" s="11">
        <f t="shared" si="1"/>
        <v>39</v>
      </c>
      <c r="O1156" s="8" t="s">
        <v>694</v>
      </c>
      <c r="P1156" s="8" t="s">
        <v>693</v>
      </c>
      <c r="Q1156" s="7"/>
      <c r="R1156" s="7"/>
      <c r="S1156" s="7"/>
      <c r="T1156" s="7"/>
      <c r="U1156" s="7"/>
      <c r="V1156" s="7"/>
      <c r="W1156" s="7"/>
      <c r="X1156" s="7"/>
      <c r="Y1156" s="7"/>
      <c r="Z1156" s="7"/>
      <c r="AA1156" s="7"/>
    </row>
    <row r="1157" spans="1:27" ht="15" hidden="1" customHeight="1" x14ac:dyDescent="0.2">
      <c r="A1157" s="7" t="s">
        <v>36</v>
      </c>
      <c r="B1157" s="7" t="s">
        <v>690</v>
      </c>
      <c r="C1157" s="7" t="s">
        <v>690</v>
      </c>
      <c r="D1157" s="8" t="s">
        <v>693</v>
      </c>
      <c r="E1157" s="9">
        <v>204853</v>
      </c>
      <c r="F1157" s="9">
        <v>1057969</v>
      </c>
      <c r="G1157" s="9">
        <v>9.5604790000000008</v>
      </c>
      <c r="H1157" s="9">
        <v>-83.688582999999994</v>
      </c>
      <c r="I1157" s="7">
        <v>2780</v>
      </c>
      <c r="J1157" s="7" t="s">
        <v>26</v>
      </c>
      <c r="K1157" s="10">
        <v>41796</v>
      </c>
      <c r="L1157" s="10">
        <v>42051</v>
      </c>
      <c r="M1157" s="11">
        <f t="shared" si="72"/>
        <v>256</v>
      </c>
      <c r="N1157" s="11">
        <f t="shared" si="1"/>
        <v>256</v>
      </c>
      <c r="O1157" s="8"/>
      <c r="P1157" s="8" t="s">
        <v>693</v>
      </c>
    </row>
    <row r="1158" spans="1:27" ht="15" hidden="1" customHeight="1" x14ac:dyDescent="0.2">
      <c r="A1158" s="7" t="s">
        <v>36</v>
      </c>
      <c r="B1158" s="7" t="s">
        <v>690</v>
      </c>
      <c r="C1158" s="7" t="s">
        <v>690</v>
      </c>
      <c r="D1158" s="8" t="s">
        <v>695</v>
      </c>
      <c r="E1158" s="9">
        <v>205048</v>
      </c>
      <c r="F1158" s="9">
        <v>1058276</v>
      </c>
      <c r="G1158" s="9">
        <v>9.5632669999999997</v>
      </c>
      <c r="H1158" s="9">
        <v>-83.68683</v>
      </c>
      <c r="I1158" s="7">
        <v>2723</v>
      </c>
      <c r="J1158" s="7" t="s">
        <v>26</v>
      </c>
      <c r="K1158" s="10">
        <v>41870</v>
      </c>
      <c r="L1158" s="10">
        <v>41960</v>
      </c>
      <c r="M1158" s="11">
        <f t="shared" si="72"/>
        <v>91</v>
      </c>
      <c r="N1158" s="11">
        <f t="shared" si="1"/>
        <v>91</v>
      </c>
      <c r="O1158" s="8"/>
      <c r="P1158" s="8" t="s">
        <v>695</v>
      </c>
    </row>
    <row r="1159" spans="1:27" ht="15" hidden="1" customHeight="1" x14ac:dyDescent="0.2">
      <c r="A1159" s="7" t="s">
        <v>182</v>
      </c>
      <c r="B1159" s="7" t="s">
        <v>690</v>
      </c>
      <c r="C1159" s="7" t="s">
        <v>690</v>
      </c>
      <c r="D1159" s="8" t="s">
        <v>691</v>
      </c>
      <c r="E1159" s="9">
        <v>204838</v>
      </c>
      <c r="F1159" s="9">
        <v>1057687</v>
      </c>
      <c r="G1159" s="9">
        <v>9.557931</v>
      </c>
      <c r="H1159" s="9">
        <v>-83.688699</v>
      </c>
      <c r="I1159" s="7">
        <v>2803</v>
      </c>
      <c r="J1159" s="7" t="s">
        <v>26</v>
      </c>
      <c r="K1159" s="10">
        <v>41775</v>
      </c>
      <c r="L1159" s="10">
        <v>41832</v>
      </c>
      <c r="M1159" s="11">
        <f t="shared" si="72"/>
        <v>58</v>
      </c>
      <c r="N1159" s="11">
        <f t="shared" si="1"/>
        <v>58</v>
      </c>
      <c r="O1159" s="8"/>
      <c r="P1159" s="8" t="s">
        <v>691</v>
      </c>
    </row>
    <row r="1160" spans="1:27" ht="15" hidden="1" customHeight="1" x14ac:dyDescent="0.2">
      <c r="A1160" s="7" t="s">
        <v>47</v>
      </c>
      <c r="B1160" s="7" t="s">
        <v>690</v>
      </c>
      <c r="C1160" s="7" t="s">
        <v>690</v>
      </c>
      <c r="D1160" s="8" t="s">
        <v>692</v>
      </c>
      <c r="E1160" s="9">
        <v>205214</v>
      </c>
      <c r="F1160" s="9">
        <v>1057596</v>
      </c>
      <c r="G1160" s="9">
        <v>9.5571350000000006</v>
      </c>
      <c r="H1160" s="9">
        <v>-83.685270000000003</v>
      </c>
      <c r="I1160" s="7">
        <v>2768</v>
      </c>
      <c r="J1160" s="7" t="s">
        <v>26</v>
      </c>
      <c r="K1160" s="10">
        <v>42061</v>
      </c>
      <c r="L1160" s="10">
        <v>42078</v>
      </c>
      <c r="M1160" s="11">
        <f t="shared" si="72"/>
        <v>18</v>
      </c>
      <c r="N1160" s="11">
        <f t="shared" si="1"/>
        <v>18</v>
      </c>
      <c r="O1160" s="8"/>
      <c r="P1160" s="8" t="s">
        <v>692</v>
      </c>
      <c r="Q1160" s="7"/>
      <c r="R1160" s="7"/>
      <c r="S1160" s="7"/>
      <c r="T1160" s="7"/>
      <c r="U1160" s="7"/>
      <c r="V1160" s="7"/>
      <c r="W1160" s="7"/>
      <c r="X1160" s="7"/>
      <c r="Y1160" s="7"/>
      <c r="Z1160" s="7"/>
      <c r="AA1160" s="7"/>
    </row>
    <row r="1161" spans="1:27" ht="15" hidden="1" customHeight="1" x14ac:dyDescent="0.2">
      <c r="A1161" s="7" t="s">
        <v>182</v>
      </c>
      <c r="B1161" s="7" t="s">
        <v>690</v>
      </c>
      <c r="C1161" s="7" t="s">
        <v>690</v>
      </c>
      <c r="D1161" s="8" t="s">
        <v>692</v>
      </c>
      <c r="E1161" s="9">
        <v>205214</v>
      </c>
      <c r="F1161" s="9">
        <v>1057596</v>
      </c>
      <c r="G1161" s="9">
        <v>9.5571350000000006</v>
      </c>
      <c r="H1161" s="9">
        <v>-83.685270000000003</v>
      </c>
      <c r="I1161" s="7">
        <v>2768</v>
      </c>
      <c r="J1161" s="7" t="s">
        <v>26</v>
      </c>
      <c r="K1161" s="10">
        <v>41791</v>
      </c>
      <c r="L1161" s="10">
        <v>41856</v>
      </c>
      <c r="M1161" s="11">
        <f t="shared" si="72"/>
        <v>66</v>
      </c>
      <c r="N1161" s="11">
        <f t="shared" si="1"/>
        <v>66</v>
      </c>
      <c r="O1161" s="8"/>
      <c r="P1161" s="8" t="s">
        <v>692</v>
      </c>
    </row>
    <row r="1162" spans="1:27" ht="15" hidden="1" customHeight="1" x14ac:dyDescent="0.2">
      <c r="A1162" s="7" t="s">
        <v>182</v>
      </c>
      <c r="B1162" s="7" t="s">
        <v>690</v>
      </c>
      <c r="C1162" s="7" t="s">
        <v>690</v>
      </c>
      <c r="D1162" s="8" t="s">
        <v>693</v>
      </c>
      <c r="E1162" s="9">
        <v>204853</v>
      </c>
      <c r="F1162" s="9">
        <v>1057969</v>
      </c>
      <c r="G1162" s="9">
        <v>9.5604790000000008</v>
      </c>
      <c r="H1162" s="9">
        <v>-83.688582999999994</v>
      </c>
      <c r="I1162" s="7">
        <v>2780</v>
      </c>
      <c r="J1162" s="7" t="s">
        <v>26</v>
      </c>
      <c r="K1162" s="10">
        <v>41795</v>
      </c>
      <c r="L1162" s="10">
        <v>41795</v>
      </c>
      <c r="M1162" s="11">
        <f t="shared" si="72"/>
        <v>1</v>
      </c>
      <c r="N1162" s="11">
        <f t="shared" si="1"/>
        <v>1</v>
      </c>
      <c r="O1162" s="8"/>
      <c r="P1162" s="8" t="s">
        <v>693</v>
      </c>
    </row>
    <row r="1163" spans="1:27" ht="15" hidden="1" customHeight="1" x14ac:dyDescent="0.2">
      <c r="A1163" s="7" t="s">
        <v>182</v>
      </c>
      <c r="B1163" s="7" t="s">
        <v>690</v>
      </c>
      <c r="C1163" s="7" t="s">
        <v>690</v>
      </c>
      <c r="D1163" s="8" t="s">
        <v>695</v>
      </c>
      <c r="E1163" s="9">
        <v>205048</v>
      </c>
      <c r="F1163" s="9">
        <v>1058276</v>
      </c>
      <c r="G1163" s="9">
        <v>9.5632669999999997</v>
      </c>
      <c r="H1163" s="9">
        <v>-83.68683</v>
      </c>
      <c r="I1163" s="7">
        <v>2723</v>
      </c>
      <c r="J1163" s="7" t="s">
        <v>26</v>
      </c>
      <c r="K1163" s="10">
        <v>41776</v>
      </c>
      <c r="L1163" s="10">
        <v>41869</v>
      </c>
      <c r="M1163" s="11">
        <f t="shared" si="72"/>
        <v>94</v>
      </c>
      <c r="N1163" s="11">
        <f t="shared" si="1"/>
        <v>94</v>
      </c>
      <c r="O1163" s="8"/>
      <c r="P1163" s="8" t="s">
        <v>695</v>
      </c>
    </row>
    <row r="1164" spans="1:27" ht="15" hidden="1" customHeight="1" x14ac:dyDescent="0.2">
      <c r="A1164" s="14" t="s">
        <v>133</v>
      </c>
      <c r="B1164" s="14" t="s">
        <v>298</v>
      </c>
      <c r="C1164" s="14" t="s">
        <v>85</v>
      </c>
      <c r="D1164" s="8" t="s">
        <v>303</v>
      </c>
      <c r="E1164" s="9">
        <v>763637</v>
      </c>
      <c r="F1164" s="9">
        <v>1083718</v>
      </c>
      <c r="G1164" s="9">
        <v>9.7982999999999993</v>
      </c>
      <c r="H1164" s="9">
        <v>-84.596900000000005</v>
      </c>
      <c r="I1164" s="7">
        <v>22</v>
      </c>
      <c r="J1164" s="7" t="s">
        <v>26</v>
      </c>
      <c r="K1164" s="10">
        <v>42179</v>
      </c>
      <c r="L1164" s="10">
        <v>42210</v>
      </c>
      <c r="M1164" s="11">
        <f t="shared" si="72"/>
        <v>32</v>
      </c>
      <c r="N1164" s="11">
        <f t="shared" si="1"/>
        <v>32</v>
      </c>
      <c r="O1164" s="8" t="s">
        <v>62</v>
      </c>
      <c r="P1164" s="7"/>
    </row>
    <row r="1165" spans="1:27" ht="15.75" hidden="1" customHeight="1" x14ac:dyDescent="0.2">
      <c r="A1165" s="7" t="s">
        <v>651</v>
      </c>
      <c r="B1165" s="7" t="s">
        <v>621</v>
      </c>
      <c r="C1165" s="7" t="s">
        <v>646</v>
      </c>
      <c r="D1165" s="8" t="s">
        <v>647</v>
      </c>
      <c r="E1165" s="9">
        <v>191491</v>
      </c>
      <c r="F1165" s="9">
        <v>1069596</v>
      </c>
      <c r="G1165" s="7">
        <v>9.6645534529999999</v>
      </c>
      <c r="H1165" s="7">
        <v>-83.811070259999994</v>
      </c>
      <c r="I1165" s="7">
        <v>2659</v>
      </c>
      <c r="J1165" s="7" t="s">
        <v>26</v>
      </c>
      <c r="K1165" s="10">
        <v>42232</v>
      </c>
      <c r="L1165" s="10">
        <v>42362</v>
      </c>
      <c r="M1165" s="11">
        <f t="shared" si="72"/>
        <v>131</v>
      </c>
      <c r="N1165" s="11">
        <f t="shared" si="1"/>
        <v>131</v>
      </c>
      <c r="O1165" s="8" t="s">
        <v>62</v>
      </c>
      <c r="P1165" s="8" t="s">
        <v>647</v>
      </c>
      <c r="Q1165" s="14"/>
      <c r="R1165" s="14"/>
      <c r="S1165" s="14"/>
      <c r="T1165" s="14"/>
      <c r="U1165" s="14"/>
      <c r="V1165" s="14"/>
      <c r="W1165" s="14"/>
      <c r="X1165" s="14"/>
      <c r="Y1165" s="14"/>
      <c r="Z1165" s="14"/>
      <c r="AA1165" s="14"/>
    </row>
    <row r="1166" spans="1:27" ht="15.75" hidden="1" customHeight="1" x14ac:dyDescent="0.2">
      <c r="A1166" s="7" t="s">
        <v>651</v>
      </c>
      <c r="B1166" s="7" t="s">
        <v>621</v>
      </c>
      <c r="C1166" s="7" t="s">
        <v>646</v>
      </c>
      <c r="D1166" s="8" t="s">
        <v>648</v>
      </c>
      <c r="E1166" s="9">
        <v>192028</v>
      </c>
      <c r="F1166" s="9">
        <v>1070266</v>
      </c>
      <c r="G1166" s="9">
        <v>9.670617</v>
      </c>
      <c r="H1166" s="9">
        <v>-83.806233000000006</v>
      </c>
      <c r="I1166" s="7">
        <v>2592</v>
      </c>
      <c r="J1166" s="7" t="s">
        <v>26</v>
      </c>
      <c r="K1166" s="10">
        <v>42354</v>
      </c>
      <c r="L1166" s="10">
        <v>42398</v>
      </c>
      <c r="M1166" s="11">
        <f t="shared" si="72"/>
        <v>45</v>
      </c>
      <c r="N1166" s="11">
        <f t="shared" si="1"/>
        <v>45</v>
      </c>
      <c r="O1166" s="8" t="s">
        <v>62</v>
      </c>
      <c r="P1166" s="8" t="s">
        <v>648</v>
      </c>
      <c r="Q1166" s="14"/>
      <c r="R1166" s="14"/>
      <c r="S1166" s="14"/>
      <c r="T1166" s="14"/>
      <c r="U1166" s="14"/>
      <c r="V1166" s="14"/>
      <c r="W1166" s="14"/>
      <c r="X1166" s="14"/>
      <c r="Y1166" s="14"/>
      <c r="Z1166" s="14"/>
      <c r="AA1166" s="14"/>
    </row>
    <row r="1167" spans="1:27" ht="15.75" hidden="1" customHeight="1" x14ac:dyDescent="0.2">
      <c r="A1167" s="7" t="s">
        <v>651</v>
      </c>
      <c r="B1167" s="7" t="s">
        <v>621</v>
      </c>
      <c r="C1167" s="7" t="s">
        <v>646</v>
      </c>
      <c r="D1167" s="8" t="s">
        <v>649</v>
      </c>
      <c r="E1167" s="9">
        <v>192382</v>
      </c>
      <c r="F1167" s="9">
        <v>1071289</v>
      </c>
      <c r="G1167" s="9">
        <v>9.6799330000000001</v>
      </c>
      <c r="H1167" s="9">
        <v>-83.803083000000001</v>
      </c>
      <c r="I1167" s="7">
        <v>2455</v>
      </c>
      <c r="J1167" s="7" t="s">
        <v>26</v>
      </c>
      <c r="K1167" s="10">
        <v>42232</v>
      </c>
      <c r="L1167" s="10">
        <v>42293</v>
      </c>
      <c r="M1167" s="11">
        <f t="shared" si="72"/>
        <v>62</v>
      </c>
      <c r="N1167" s="11">
        <f t="shared" si="1"/>
        <v>62</v>
      </c>
      <c r="O1167" s="8" t="s">
        <v>62</v>
      </c>
      <c r="P1167" s="8" t="s">
        <v>649</v>
      </c>
      <c r="Q1167" s="14"/>
      <c r="R1167" s="14"/>
      <c r="S1167" s="14"/>
      <c r="T1167" s="14"/>
      <c r="U1167" s="14"/>
      <c r="V1167" s="14"/>
      <c r="W1167" s="14"/>
      <c r="X1167" s="14"/>
      <c r="Y1167" s="14"/>
      <c r="Z1167" s="14"/>
      <c r="AA1167" s="14"/>
    </row>
    <row r="1168" spans="1:27" ht="15" hidden="1" customHeight="1" x14ac:dyDescent="0.2">
      <c r="A1168" s="7" t="s">
        <v>134</v>
      </c>
      <c r="B1168" s="7" t="s">
        <v>431</v>
      </c>
      <c r="C1168" s="7" t="s">
        <v>466</v>
      </c>
      <c r="D1168" s="8">
        <v>1</v>
      </c>
      <c r="E1168" s="9">
        <v>192867</v>
      </c>
      <c r="F1168" s="9">
        <v>1057094</v>
      </c>
      <c r="G1168" s="9">
        <v>9.5515170000000005</v>
      </c>
      <c r="H1168" s="9">
        <v>-83.797416999999996</v>
      </c>
      <c r="I1168" s="7">
        <v>2549</v>
      </c>
      <c r="J1168" s="7" t="s">
        <v>20</v>
      </c>
      <c r="K1168" s="10">
        <v>42570</v>
      </c>
      <c r="L1168" s="10">
        <v>42623</v>
      </c>
      <c r="M1168" s="11">
        <f t="shared" si="72"/>
        <v>54</v>
      </c>
      <c r="N1168" s="11">
        <f t="shared" si="1"/>
        <v>54</v>
      </c>
      <c r="O1168" s="8"/>
      <c r="P1168" s="8">
        <v>6</v>
      </c>
    </row>
    <row r="1169" spans="1:27" ht="15" hidden="1" customHeight="1" x14ac:dyDescent="0.2">
      <c r="A1169" s="7" t="s">
        <v>186</v>
      </c>
      <c r="B1169" s="7" t="s">
        <v>431</v>
      </c>
      <c r="C1169" s="7" t="s">
        <v>466</v>
      </c>
      <c r="D1169" s="8">
        <v>1</v>
      </c>
      <c r="E1169" s="9">
        <v>192867</v>
      </c>
      <c r="F1169" s="9">
        <v>1057094</v>
      </c>
      <c r="G1169" s="9">
        <v>9.5515170000000005</v>
      </c>
      <c r="H1169" s="9">
        <v>-83.797416999999996</v>
      </c>
      <c r="I1169" s="7">
        <v>2549</v>
      </c>
      <c r="J1169" s="7" t="s">
        <v>20</v>
      </c>
      <c r="K1169" s="10">
        <v>42880</v>
      </c>
      <c r="L1169" s="10">
        <v>42893</v>
      </c>
      <c r="M1169" s="11">
        <f t="shared" si="72"/>
        <v>14</v>
      </c>
      <c r="N1169" s="11">
        <f t="shared" si="1"/>
        <v>14</v>
      </c>
      <c r="O1169" s="8"/>
      <c r="P1169" s="8">
        <v>6</v>
      </c>
    </row>
    <row r="1170" spans="1:27" ht="15" hidden="1" customHeight="1" x14ac:dyDescent="0.2">
      <c r="A1170" s="7" t="s">
        <v>297</v>
      </c>
      <c r="B1170" s="7" t="s">
        <v>431</v>
      </c>
      <c r="C1170" s="7" t="s">
        <v>466</v>
      </c>
      <c r="D1170" s="8">
        <v>1</v>
      </c>
      <c r="E1170" s="9">
        <v>192867</v>
      </c>
      <c r="F1170" s="9">
        <v>1057094</v>
      </c>
      <c r="G1170" s="9">
        <v>9.5515170000000005</v>
      </c>
      <c r="H1170" s="9">
        <v>-83.797416999999996</v>
      </c>
      <c r="I1170" s="7">
        <v>2549</v>
      </c>
      <c r="J1170" s="7" t="s">
        <v>20</v>
      </c>
      <c r="K1170" s="10">
        <v>43276</v>
      </c>
      <c r="L1170" s="10">
        <v>43301</v>
      </c>
      <c r="M1170" s="11">
        <f t="shared" si="72"/>
        <v>26</v>
      </c>
      <c r="N1170" s="11">
        <f t="shared" si="1"/>
        <v>26</v>
      </c>
      <c r="O1170" s="8"/>
      <c r="P1170" s="8">
        <v>6</v>
      </c>
    </row>
    <row r="1171" spans="1:27" ht="15" hidden="1" customHeight="1" x14ac:dyDescent="0.2">
      <c r="A1171" s="20" t="s">
        <v>297</v>
      </c>
      <c r="B1171" s="20" t="s">
        <v>431</v>
      </c>
      <c r="C1171" s="20" t="s">
        <v>466</v>
      </c>
      <c r="D1171" s="8">
        <v>1</v>
      </c>
      <c r="E1171" s="22">
        <v>192867</v>
      </c>
      <c r="F1171" s="22">
        <v>1057094</v>
      </c>
      <c r="G1171" s="22">
        <v>9.5515170000000005</v>
      </c>
      <c r="H1171" s="22">
        <v>-83.797416999999996</v>
      </c>
      <c r="I1171" s="20">
        <v>2549</v>
      </c>
      <c r="J1171" s="20" t="s">
        <v>20</v>
      </c>
      <c r="K1171" s="23"/>
      <c r="L1171" s="23"/>
      <c r="M1171" s="24">
        <f t="shared" si="72"/>
        <v>0</v>
      </c>
      <c r="N1171" s="11">
        <f t="shared" si="1"/>
        <v>0</v>
      </c>
      <c r="O1171" s="25"/>
      <c r="P1171" s="21">
        <v>6</v>
      </c>
    </row>
    <row r="1172" spans="1:27" ht="15" hidden="1" customHeight="1" x14ac:dyDescent="0.2">
      <c r="A1172" s="14" t="s">
        <v>444</v>
      </c>
      <c r="B1172" s="14" t="s">
        <v>431</v>
      </c>
      <c r="C1172" s="14" t="s">
        <v>466</v>
      </c>
      <c r="D1172" s="8">
        <v>1</v>
      </c>
      <c r="E1172" s="16">
        <v>192867</v>
      </c>
      <c r="F1172" s="16">
        <v>1057094</v>
      </c>
      <c r="G1172" s="16">
        <v>9.5515170000000005</v>
      </c>
      <c r="H1172" s="16">
        <v>-83.797416999999996</v>
      </c>
      <c r="I1172" s="14">
        <v>2549</v>
      </c>
      <c r="J1172" s="14" t="s">
        <v>20</v>
      </c>
      <c r="K1172" s="17">
        <v>43649</v>
      </c>
      <c r="L1172" s="17">
        <v>43689</v>
      </c>
      <c r="M1172" s="18">
        <f t="shared" si="72"/>
        <v>41</v>
      </c>
      <c r="N1172" s="11">
        <f t="shared" si="1"/>
        <v>41</v>
      </c>
      <c r="O1172" s="15" t="s">
        <v>696</v>
      </c>
      <c r="P1172" s="15">
        <v>6</v>
      </c>
    </row>
    <row r="1173" spans="1:27" ht="15" hidden="1" customHeight="1" x14ac:dyDescent="0.2">
      <c r="A1173" s="7" t="s">
        <v>47</v>
      </c>
      <c r="B1173" s="7" t="s">
        <v>690</v>
      </c>
      <c r="C1173" s="7" t="s">
        <v>690</v>
      </c>
      <c r="D1173" s="8" t="s">
        <v>691</v>
      </c>
      <c r="E1173" s="9">
        <v>204838</v>
      </c>
      <c r="F1173" s="9">
        <v>1057687</v>
      </c>
      <c r="G1173" s="9">
        <v>9.557931</v>
      </c>
      <c r="H1173" s="9">
        <v>-83.688699</v>
      </c>
      <c r="I1173" s="7">
        <v>2803</v>
      </c>
      <c r="J1173" s="7" t="s">
        <v>26</v>
      </c>
      <c r="K1173" s="10">
        <v>41980</v>
      </c>
      <c r="L1173" s="10">
        <v>42053</v>
      </c>
      <c r="M1173" s="11">
        <f t="shared" si="72"/>
        <v>74</v>
      </c>
      <c r="N1173" s="11">
        <f t="shared" si="1"/>
        <v>74</v>
      </c>
      <c r="O1173" s="8" t="s">
        <v>62</v>
      </c>
      <c r="P1173" s="8" t="s">
        <v>691</v>
      </c>
      <c r="Q1173" s="7"/>
      <c r="R1173" s="7"/>
      <c r="S1173" s="7"/>
      <c r="T1173" s="7"/>
      <c r="U1173" s="7"/>
      <c r="V1173" s="7"/>
      <c r="W1173" s="7"/>
      <c r="X1173" s="7"/>
      <c r="Y1173" s="7"/>
      <c r="Z1173" s="7"/>
      <c r="AA1173" s="7"/>
    </row>
    <row r="1174" spans="1:27" ht="15" hidden="1" customHeight="1" x14ac:dyDescent="0.2">
      <c r="A1174" s="7" t="s">
        <v>182</v>
      </c>
      <c r="B1174" s="7" t="s">
        <v>136</v>
      </c>
      <c r="C1174" s="7" t="s">
        <v>137</v>
      </c>
      <c r="D1174" s="8" t="s">
        <v>161</v>
      </c>
      <c r="E1174" s="9">
        <v>218685</v>
      </c>
      <c r="F1174" s="9">
        <v>1046732</v>
      </c>
      <c r="G1174" s="7">
        <v>9.4598999999999993</v>
      </c>
      <c r="H1174" s="7">
        <v>-83.561920000000001</v>
      </c>
      <c r="I1174" s="7">
        <v>2308</v>
      </c>
      <c r="J1174" s="7" t="s">
        <v>20</v>
      </c>
      <c r="K1174" s="10">
        <v>41761</v>
      </c>
      <c r="L1174" s="10">
        <v>41877</v>
      </c>
      <c r="M1174" s="11">
        <f t="shared" si="72"/>
        <v>117</v>
      </c>
      <c r="N1174" s="11">
        <f t="shared" si="1"/>
        <v>117</v>
      </c>
      <c r="O1174" s="8"/>
      <c r="P1174" s="7"/>
    </row>
    <row r="1175" spans="1:27" ht="15" hidden="1" customHeight="1" x14ac:dyDescent="0.2">
      <c r="A1175" s="7" t="s">
        <v>47</v>
      </c>
      <c r="B1175" s="7" t="s">
        <v>136</v>
      </c>
      <c r="C1175" s="7" t="s">
        <v>146</v>
      </c>
      <c r="D1175" s="7" t="s">
        <v>147</v>
      </c>
      <c r="E1175" s="9">
        <v>224433</v>
      </c>
      <c r="F1175" s="9">
        <v>1043313</v>
      </c>
      <c r="G1175" s="9">
        <v>9.4293829999999996</v>
      </c>
      <c r="H1175" s="9">
        <v>-83.509383</v>
      </c>
      <c r="I1175" s="7">
        <v>3113</v>
      </c>
      <c r="J1175" s="7" t="s">
        <v>26</v>
      </c>
      <c r="K1175" s="10">
        <v>41988</v>
      </c>
      <c r="L1175" s="10">
        <v>42181</v>
      </c>
      <c r="M1175" s="11">
        <f t="shared" si="72"/>
        <v>194</v>
      </c>
      <c r="N1175" s="11">
        <f t="shared" si="1"/>
        <v>194</v>
      </c>
      <c r="O1175" s="8"/>
      <c r="P1175" s="7"/>
    </row>
    <row r="1176" spans="1:27" ht="15" hidden="1" customHeight="1" x14ac:dyDescent="0.2">
      <c r="A1176" s="19" t="s">
        <v>297</v>
      </c>
      <c r="B1176" s="19" t="s">
        <v>431</v>
      </c>
      <c r="C1176" s="19" t="s">
        <v>439</v>
      </c>
      <c r="D1176" s="19" t="s">
        <v>446</v>
      </c>
      <c r="E1176" s="16">
        <v>186470</v>
      </c>
      <c r="F1176" s="16">
        <v>1064101</v>
      </c>
      <c r="G1176" s="16">
        <v>9.6145329999999998</v>
      </c>
      <c r="H1176" s="16">
        <v>-83.856367000000006</v>
      </c>
      <c r="I1176" s="14">
        <v>3087</v>
      </c>
      <c r="J1176" s="14" t="s">
        <v>26</v>
      </c>
      <c r="K1176" s="10">
        <v>43278</v>
      </c>
      <c r="L1176" s="10">
        <v>43303</v>
      </c>
      <c r="M1176" s="18">
        <f t="shared" si="72"/>
        <v>26</v>
      </c>
      <c r="N1176" s="11">
        <v>26</v>
      </c>
      <c r="O1176" s="8" t="s">
        <v>697</v>
      </c>
      <c r="P1176" s="7">
        <v>26</v>
      </c>
    </row>
    <row r="1177" spans="1:27" ht="15" hidden="1" customHeight="1" x14ac:dyDescent="0.2">
      <c r="A1177" s="19" t="s">
        <v>297</v>
      </c>
      <c r="B1177" s="7" t="s">
        <v>431</v>
      </c>
      <c r="C1177" s="7" t="s">
        <v>439</v>
      </c>
      <c r="D1177" s="8" t="s">
        <v>440</v>
      </c>
      <c r="E1177" s="9">
        <v>186677</v>
      </c>
      <c r="F1177" s="9">
        <v>1064630</v>
      </c>
      <c r="G1177" s="9">
        <v>9.6193329999999992</v>
      </c>
      <c r="H1177" s="9">
        <v>-83.854517000000001</v>
      </c>
      <c r="I1177" s="7">
        <v>3136</v>
      </c>
      <c r="J1177" s="7" t="s">
        <v>26</v>
      </c>
      <c r="K1177" s="10">
        <v>43278</v>
      </c>
      <c r="L1177" s="10">
        <v>43303</v>
      </c>
      <c r="M1177" s="11">
        <f t="shared" si="72"/>
        <v>26</v>
      </c>
      <c r="N1177" s="11">
        <v>26</v>
      </c>
      <c r="O1177" s="8" t="s">
        <v>698</v>
      </c>
      <c r="P1177" s="8">
        <v>27</v>
      </c>
    </row>
    <row r="1178" spans="1:27" ht="15" hidden="1" customHeight="1" x14ac:dyDescent="0.2">
      <c r="A1178" s="35" t="s">
        <v>699</v>
      </c>
      <c r="B1178" s="35" t="s">
        <v>431</v>
      </c>
      <c r="C1178" s="35" t="s">
        <v>449</v>
      </c>
      <c r="D1178" s="8">
        <v>1</v>
      </c>
      <c r="G1178" s="9">
        <v>9.3336500000000004</v>
      </c>
      <c r="H1178" s="9">
        <v>-83.462900000000005</v>
      </c>
      <c r="I1178" s="35">
        <v>3227</v>
      </c>
      <c r="J1178" s="35" t="s">
        <v>26</v>
      </c>
      <c r="K1178" s="10">
        <v>44392</v>
      </c>
      <c r="L1178" s="10">
        <v>44411</v>
      </c>
      <c r="M1178" s="35">
        <v>19</v>
      </c>
    </row>
    <row r="1179" spans="1:27" ht="15" hidden="1" customHeight="1" x14ac:dyDescent="0.2">
      <c r="C1179" s="35" t="s">
        <v>524</v>
      </c>
      <c r="D1179" s="35">
        <v>1</v>
      </c>
      <c r="G1179" s="9">
        <v>9.3330099999999998</v>
      </c>
      <c r="H1179" s="9">
        <v>-83.465829999999997</v>
      </c>
      <c r="I1179" s="35">
        <v>3070</v>
      </c>
      <c r="K1179" s="10">
        <v>44392</v>
      </c>
      <c r="L1179" s="10">
        <v>44411</v>
      </c>
      <c r="M1179" s="35">
        <v>19</v>
      </c>
    </row>
    <row r="1180" spans="1:27" ht="15" hidden="1" customHeight="1" x14ac:dyDescent="0.2">
      <c r="C1180" s="35" t="s">
        <v>524</v>
      </c>
      <c r="D1180" s="35">
        <v>2</v>
      </c>
      <c r="G1180" s="9">
        <v>9.3356600000000007</v>
      </c>
      <c r="H1180" s="9">
        <v>-83.466899999999995</v>
      </c>
      <c r="I1180" s="35">
        <v>2995</v>
      </c>
      <c r="K1180" s="10">
        <v>44392</v>
      </c>
      <c r="L1180" s="10">
        <v>44411</v>
      </c>
      <c r="M1180" s="35">
        <v>19</v>
      </c>
    </row>
    <row r="1181" spans="1:27" ht="15" hidden="1" customHeight="1" x14ac:dyDescent="0.2">
      <c r="C1181" s="35" t="s">
        <v>524</v>
      </c>
      <c r="D1181" s="35">
        <v>3</v>
      </c>
      <c r="G1181" s="9">
        <v>9.33812</v>
      </c>
      <c r="H1181" s="9">
        <v>-83.471720000000005</v>
      </c>
      <c r="I1181" s="35">
        <v>2839</v>
      </c>
      <c r="K1181" s="10">
        <v>44392</v>
      </c>
      <c r="L1181" s="10">
        <v>44411</v>
      </c>
      <c r="M1181" s="35">
        <v>19</v>
      </c>
    </row>
  </sheetData>
  <autoFilter ref="A1:P1181" xr:uid="{00000000-0009-0000-0000-000000000000}">
    <filterColumn colId="1">
      <filters>
        <filter val="ASBC"/>
      </filters>
    </filterColumn>
  </autoFilter>
  <conditionalFormatting sqref="M831:M832 M835:M836 M839:M844 M901 M903 M922:M925 M927:M930 M943:M944 M947 M956 M963:M965 M967 M973 M975 M981:M997 M999:M1001 M1003:M1004 M1006:M1009 M1021:M1023 M1031 M1033 M1045 M1048 M1051 M1055 M1058 M1060 M1065 M1091:M1100 M1118:M1119 M1121:M1134">
    <cfRule type="expression" dxfId="102" priority="1">
      <formula>#REF! &lt;&gt; $M831</formula>
    </cfRule>
  </conditionalFormatting>
  <conditionalFormatting sqref="M830">
    <cfRule type="expression" dxfId="101" priority="2">
      <formula>#REF! &lt;&gt; $M830</formula>
    </cfRule>
  </conditionalFormatting>
  <conditionalFormatting sqref="M849 M851:M858">
    <cfRule type="expression" dxfId="100" priority="3">
      <formula>#REF! &lt;&gt; $M849</formula>
    </cfRule>
  </conditionalFormatting>
  <conditionalFormatting sqref="M859:M863 M867:M871">
    <cfRule type="expression" dxfId="99" priority="4">
      <formula>#REF! &lt;&gt; $M859</formula>
    </cfRule>
  </conditionalFormatting>
  <conditionalFormatting sqref="M872:M882">
    <cfRule type="expression" dxfId="98" priority="5">
      <formula>#REF! &lt;&gt; $M872</formula>
    </cfRule>
  </conditionalFormatting>
  <conditionalFormatting sqref="M883:M891">
    <cfRule type="expression" dxfId="97" priority="6">
      <formula>#REF! &lt;&gt; $M883</formula>
    </cfRule>
  </conditionalFormatting>
  <conditionalFormatting sqref="M893">
    <cfRule type="expression" dxfId="96" priority="7">
      <formula>#REF! &lt;&gt; $M893</formula>
    </cfRule>
  </conditionalFormatting>
  <conditionalFormatting sqref="M892">
    <cfRule type="expression" dxfId="95" priority="8">
      <formula>#REF! &lt;&gt; $M892</formula>
    </cfRule>
  </conditionalFormatting>
  <conditionalFormatting sqref="M749:M750">
    <cfRule type="expression" dxfId="94" priority="9">
      <formula>#REF! &lt;&gt; $M749</formula>
    </cfRule>
  </conditionalFormatting>
  <conditionalFormatting sqref="M753">
    <cfRule type="expression" dxfId="93" priority="10">
      <formula>#REF! &lt;&gt; $M753</formula>
    </cfRule>
  </conditionalFormatting>
  <conditionalFormatting sqref="M906">
    <cfRule type="expression" dxfId="92" priority="11">
      <formula>#REF! &lt;&gt; $M906</formula>
    </cfRule>
  </conditionalFormatting>
  <conditionalFormatting sqref="M914">
    <cfRule type="expression" dxfId="91" priority="12">
      <formula>#REF! &lt;&gt; $M914</formula>
    </cfRule>
  </conditionalFormatting>
  <conditionalFormatting sqref="M932">
    <cfRule type="expression" dxfId="90" priority="13">
      <formula>#REF! &lt;&gt; $M932</formula>
    </cfRule>
  </conditionalFormatting>
  <conditionalFormatting sqref="M953">
    <cfRule type="expression" dxfId="89" priority="14">
      <formula>#REF! &lt;&gt; $M953</formula>
    </cfRule>
  </conditionalFormatting>
  <conditionalFormatting sqref="M936">
    <cfRule type="expression" dxfId="88" priority="15">
      <formula>#REF! &lt;&gt; $M936</formula>
    </cfRule>
  </conditionalFormatting>
  <conditionalFormatting sqref="M937">
    <cfRule type="expression" dxfId="87" priority="16">
      <formula>#REF! &lt;&gt; $M937</formula>
    </cfRule>
  </conditionalFormatting>
  <conditionalFormatting sqref="M957">
    <cfRule type="expression" dxfId="86" priority="17">
      <formula>#REF! &lt;&gt; $M957</formula>
    </cfRule>
  </conditionalFormatting>
  <conditionalFormatting sqref="M828">
    <cfRule type="expression" dxfId="85" priority="18">
      <formula>#REF! &lt;&gt; $M828</formula>
    </cfRule>
  </conditionalFormatting>
  <conditionalFormatting sqref="M829">
    <cfRule type="expression" dxfId="84" priority="19">
      <formula>#REF! &lt;&gt; $M829</formula>
    </cfRule>
  </conditionalFormatting>
  <conditionalFormatting sqref="M834">
    <cfRule type="expression" dxfId="83" priority="20">
      <formula>#REF! &lt;&gt; $M834</formula>
    </cfRule>
  </conditionalFormatting>
  <conditionalFormatting sqref="M833">
    <cfRule type="expression" dxfId="82" priority="21">
      <formula>#REF! &lt;&gt; $M833</formula>
    </cfRule>
  </conditionalFormatting>
  <conditionalFormatting sqref="M837">
    <cfRule type="expression" dxfId="81" priority="22">
      <formula>#REF! &lt;&gt; $M837</formula>
    </cfRule>
  </conditionalFormatting>
  <conditionalFormatting sqref="M838">
    <cfRule type="expression" dxfId="80" priority="23">
      <formula>#REF! &lt;&gt; $M838</formula>
    </cfRule>
  </conditionalFormatting>
  <conditionalFormatting sqref="M938:M940">
    <cfRule type="expression" dxfId="79" priority="24">
      <formula>#REF! &lt;&gt; $M938</formula>
    </cfRule>
  </conditionalFormatting>
  <conditionalFormatting sqref="M948:M952">
    <cfRule type="expression" dxfId="78" priority="25">
      <formula>#REF! &lt;&gt; $M948</formula>
    </cfRule>
  </conditionalFormatting>
  <conditionalFormatting sqref="M958:M962">
    <cfRule type="expression" dxfId="77" priority="26">
      <formula>#REF! &lt;&gt; $M958</formula>
    </cfRule>
  </conditionalFormatting>
  <conditionalFormatting sqref="M968:M972">
    <cfRule type="expression" dxfId="76" priority="27">
      <formula>#REF! &lt;&gt; $M968</formula>
    </cfRule>
  </conditionalFormatting>
  <conditionalFormatting sqref="M976:M980">
    <cfRule type="expression" dxfId="75" priority="28">
      <formula>#REF! &lt;&gt; $M976</formula>
    </cfRule>
  </conditionalFormatting>
  <conditionalFormatting sqref="M945">
    <cfRule type="expression" dxfId="74" priority="29">
      <formula>#REF! &lt;&gt; $M945</formula>
    </cfRule>
  </conditionalFormatting>
  <conditionalFormatting sqref="M954">
    <cfRule type="expression" dxfId="73" priority="30">
      <formula>#REF! &lt;&gt; $M954</formula>
    </cfRule>
  </conditionalFormatting>
  <conditionalFormatting sqref="M1012:M1019">
    <cfRule type="expression" dxfId="72" priority="31">
      <formula>#REF! &lt;&gt; $M1012</formula>
    </cfRule>
  </conditionalFormatting>
  <conditionalFormatting sqref="M1020">
    <cfRule type="expression" dxfId="71" priority="32">
      <formula>#REF! &lt;&gt; $M1020</formula>
    </cfRule>
  </conditionalFormatting>
  <conditionalFormatting sqref="M1107:M1108">
    <cfRule type="expression" dxfId="70" priority="33">
      <formula>#REF! &lt;&gt; $M1107</formula>
    </cfRule>
  </conditionalFormatting>
  <conditionalFormatting sqref="M1109:M1116">
    <cfRule type="expression" dxfId="69" priority="34">
      <formula>#REF! &lt;&gt; $M1109</formula>
    </cfRule>
  </conditionalFormatting>
  <conditionalFormatting sqref="M1117">
    <cfRule type="expression" dxfId="68" priority="35">
      <formula>#REF! &lt;&gt; $M1117</formula>
    </cfRule>
  </conditionalFormatting>
  <conditionalFormatting sqref="M1024:M1029">
    <cfRule type="expression" dxfId="67" priority="36">
      <formula>#REF! &lt;&gt; $M1024</formula>
    </cfRule>
  </conditionalFormatting>
  <conditionalFormatting sqref="M1042">
    <cfRule type="expression" dxfId="66" priority="37">
      <formula>#REF! &lt;&gt; $M1042</formula>
    </cfRule>
  </conditionalFormatting>
  <conditionalFormatting sqref="M1030">
    <cfRule type="expression" dxfId="65" priority="38">
      <formula>#REF! &lt;&gt; $M1030</formula>
    </cfRule>
  </conditionalFormatting>
  <conditionalFormatting sqref="M1032">
    <cfRule type="expression" dxfId="64" priority="39">
      <formula>#REF! &lt;&gt; $M1032</formula>
    </cfRule>
  </conditionalFormatting>
  <conditionalFormatting sqref="M1043:M1044">
    <cfRule type="expression" dxfId="63" priority="40">
      <formula>#REF! &lt;&gt; $M1043</formula>
    </cfRule>
  </conditionalFormatting>
  <conditionalFormatting sqref="M1049">
    <cfRule type="expression" dxfId="62" priority="41">
      <formula>#REF! &lt;&gt; $M1049</formula>
    </cfRule>
  </conditionalFormatting>
  <conditionalFormatting sqref="M1056">
    <cfRule type="expression" dxfId="61" priority="42">
      <formula>#REF! &lt;&gt; $M1056</formula>
    </cfRule>
  </conditionalFormatting>
  <conditionalFormatting sqref="M1059">
    <cfRule type="expression" dxfId="60" priority="43">
      <formula>#REF! &lt;&gt; $M1059</formula>
    </cfRule>
  </conditionalFormatting>
  <conditionalFormatting sqref="M1061:M1063">
    <cfRule type="expression" dxfId="59" priority="44">
      <formula>#REF! &lt;&gt; $M1061</formula>
    </cfRule>
  </conditionalFormatting>
  <conditionalFormatting sqref="M1073">
    <cfRule type="expression" dxfId="58" priority="45">
      <formula>#REF! &lt;&gt; $M1073</formula>
    </cfRule>
  </conditionalFormatting>
  <conditionalFormatting sqref="M1139">
    <cfRule type="expression" dxfId="57" priority="46">
      <formula>#REF! &lt;&gt; $M1139</formula>
    </cfRule>
  </conditionalFormatting>
  <conditionalFormatting sqref="M1135">
    <cfRule type="expression" dxfId="56" priority="47">
      <formula>#REF! &lt;&gt; $M1135</formula>
    </cfRule>
  </conditionalFormatting>
  <conditionalFormatting sqref="M1136">
    <cfRule type="expression" dxfId="55" priority="48">
      <formula>#REF! &lt;&gt; $M1136</formula>
    </cfRule>
  </conditionalFormatting>
  <conditionalFormatting sqref="M1137">
    <cfRule type="expression" dxfId="54" priority="49">
      <formula>#REF! &lt;&gt; $M1137</formula>
    </cfRule>
  </conditionalFormatting>
  <conditionalFormatting sqref="M1138">
    <cfRule type="expression" dxfId="53" priority="50">
      <formula>#REF! &lt;&gt; $M1138</formula>
    </cfRule>
  </conditionalFormatting>
  <conditionalFormatting sqref="M1140">
    <cfRule type="expression" dxfId="52" priority="51">
      <formula>#REF! &lt;&gt; $M1140</formula>
    </cfRule>
  </conditionalFormatting>
  <conditionalFormatting sqref="M1141">
    <cfRule type="expression" dxfId="51" priority="52">
      <formula>#REF! &lt;&gt; $M1141</formula>
    </cfRule>
  </conditionalFormatting>
  <conditionalFormatting sqref="M1142">
    <cfRule type="expression" dxfId="50" priority="53">
      <formula>#REF! &lt;&gt; $M1142</formula>
    </cfRule>
  </conditionalFormatting>
  <conditionalFormatting sqref="M1143">
    <cfRule type="expression" dxfId="49" priority="54">
      <formula>#REF! &lt;&gt; $M1143</formula>
    </cfRule>
  </conditionalFormatting>
  <conditionalFormatting sqref="M1144">
    <cfRule type="expression" dxfId="48" priority="55">
      <formula>#REF! &lt;&gt; $M1144</formula>
    </cfRule>
  </conditionalFormatting>
  <conditionalFormatting sqref="M1145">
    <cfRule type="expression" dxfId="47" priority="56">
      <formula>#REF! &lt;&gt; $M1145</formula>
    </cfRule>
  </conditionalFormatting>
  <conditionalFormatting sqref="M1146">
    <cfRule type="expression" dxfId="46" priority="57">
      <formula>#REF! &lt;&gt; $M1146</formula>
    </cfRule>
  </conditionalFormatting>
  <conditionalFormatting sqref="M1147">
    <cfRule type="expression" dxfId="45" priority="58">
      <formula>#REF! &lt;&gt; $M1147</formula>
    </cfRule>
  </conditionalFormatting>
  <conditionalFormatting sqref="M1155">
    <cfRule type="expression" dxfId="44" priority="59">
      <formula>#REF! &lt;&gt; $M1155</formula>
    </cfRule>
  </conditionalFormatting>
  <conditionalFormatting sqref="M1149">
    <cfRule type="expression" dxfId="43" priority="60">
      <formula>#REF! &lt;&gt; $M1149</formula>
    </cfRule>
  </conditionalFormatting>
  <conditionalFormatting sqref="M1150">
    <cfRule type="expression" dxfId="42" priority="61">
      <formula>#REF! &lt;&gt; $M1150</formula>
    </cfRule>
  </conditionalFormatting>
  <conditionalFormatting sqref="M1152">
    <cfRule type="expression" dxfId="41" priority="62">
      <formula>#REF! &lt;&gt; $M1152</formula>
    </cfRule>
  </conditionalFormatting>
  <conditionalFormatting sqref="M1157">
    <cfRule type="expression" dxfId="40" priority="63">
      <formula>#REF! &lt;&gt; $M1157</formula>
    </cfRule>
  </conditionalFormatting>
  <conditionalFormatting sqref="M1158">
    <cfRule type="expression" dxfId="39" priority="64">
      <formula>#REF! &lt;&gt; $M1158</formula>
    </cfRule>
  </conditionalFormatting>
  <conditionalFormatting sqref="M1159">
    <cfRule type="expression" dxfId="38" priority="65">
      <formula>#REF! &lt;&gt; $M1159</formula>
    </cfRule>
  </conditionalFormatting>
  <conditionalFormatting sqref="M1161">
    <cfRule type="expression" dxfId="37" priority="66">
      <formula>#REF! &lt;&gt; $M1161</formula>
    </cfRule>
  </conditionalFormatting>
  <conditionalFormatting sqref="M1162">
    <cfRule type="expression" dxfId="36" priority="67">
      <formula>#REF! &lt;&gt; $M1162</formula>
    </cfRule>
  </conditionalFormatting>
  <conditionalFormatting sqref="M1163">
    <cfRule type="expression" dxfId="35" priority="68">
      <formula>#REF! &lt;&gt; $M1163</formula>
    </cfRule>
  </conditionalFormatting>
  <conditionalFormatting sqref="M1165">
    <cfRule type="expression" dxfId="34" priority="69">
      <formula>#REF! &lt;&gt; $M1165</formula>
    </cfRule>
  </conditionalFormatting>
  <conditionalFormatting sqref="M1166">
    <cfRule type="expression" dxfId="33" priority="70">
      <formula>#REF! &lt;&gt; $M1166</formula>
    </cfRule>
  </conditionalFormatting>
  <conditionalFormatting sqref="M1167">
    <cfRule type="expression" dxfId="32" priority="71">
      <formula>#REF! &lt;&gt; $M1167</formula>
    </cfRule>
  </conditionalFormatting>
  <conditionalFormatting sqref="M1054">
    <cfRule type="expression" dxfId="31" priority="72">
      <formula>#REF! &lt;&gt; $M1054</formula>
    </cfRule>
  </conditionalFormatting>
  <conditionalFormatting sqref="M1057">
    <cfRule type="expression" dxfId="30" priority="73">
      <formula>#REF! &lt;&gt; $M1057</formula>
    </cfRule>
  </conditionalFormatting>
  <conditionalFormatting sqref="M1151">
    <cfRule type="expression" dxfId="29" priority="74">
      <formula>#REF! &lt;&gt; $M1151</formula>
    </cfRule>
  </conditionalFormatting>
  <conditionalFormatting sqref="M1064">
    <cfRule type="expression" dxfId="28" priority="75">
      <formula>#REF! &lt;&gt; $M1064</formula>
    </cfRule>
  </conditionalFormatting>
  <conditionalFormatting sqref="M1120">
    <cfRule type="expression" dxfId="27" priority="76">
      <formula>#REF! &lt;&gt; $M1120</formula>
    </cfRule>
  </conditionalFormatting>
  <conditionalFormatting sqref="M847">
    <cfRule type="expression" dxfId="26" priority="77">
      <formula>#REF! &lt;&gt; $M847</formula>
    </cfRule>
  </conditionalFormatting>
  <conditionalFormatting sqref="M848">
    <cfRule type="expression" dxfId="25" priority="78">
      <formula>#REF! &lt;&gt; $M848</formula>
    </cfRule>
  </conditionalFormatting>
  <conditionalFormatting sqref="M864">
    <cfRule type="expression" dxfId="24" priority="79">
      <formula>#REF! &lt;&gt; $M864</formula>
    </cfRule>
  </conditionalFormatting>
  <conditionalFormatting sqref="M866">
    <cfRule type="expression" dxfId="23" priority="80">
      <formula>#REF! &lt;&gt; $M866</formula>
    </cfRule>
  </conditionalFormatting>
  <conditionalFormatting sqref="M865">
    <cfRule type="expression" dxfId="22" priority="81">
      <formula>#REF! &lt;&gt; $M865</formula>
    </cfRule>
  </conditionalFormatting>
  <conditionalFormatting sqref="M784">
    <cfRule type="expression" dxfId="21" priority="82">
      <formula>#REF! &lt;&gt; $M784</formula>
    </cfRule>
  </conditionalFormatting>
  <conditionalFormatting sqref="M785">
    <cfRule type="expression" dxfId="20" priority="83">
      <formula>#REF! &lt;&gt; $M785</formula>
    </cfRule>
  </conditionalFormatting>
  <conditionalFormatting sqref="M786">
    <cfRule type="expression" dxfId="19" priority="84">
      <formula>#REF! &lt;&gt; $M786</formula>
    </cfRule>
  </conditionalFormatting>
  <conditionalFormatting sqref="M787">
    <cfRule type="expression" dxfId="18" priority="85">
      <formula>#REF! &lt;&gt; $M787</formula>
    </cfRule>
  </conditionalFormatting>
  <conditionalFormatting sqref="M695">
    <cfRule type="expression" dxfId="17" priority="86">
      <formula>#REF! &lt;&gt; $M695</formula>
    </cfRule>
  </conditionalFormatting>
  <conditionalFormatting sqref="M632">
    <cfRule type="expression" dxfId="16" priority="87">
      <formula>#REF! &lt;&gt; $M632</formula>
    </cfRule>
  </conditionalFormatting>
  <conditionalFormatting sqref="M697">
    <cfRule type="expression" dxfId="15" priority="88">
      <formula>#REF! &lt;&gt; $M697</formula>
    </cfRule>
  </conditionalFormatting>
  <conditionalFormatting sqref="M850">
    <cfRule type="expression" dxfId="14" priority="89">
      <formula>#REF! &lt;&gt; $M850</formula>
    </cfRule>
  </conditionalFormatting>
  <conditionalFormatting sqref="M846">
    <cfRule type="expression" dxfId="13" priority="90">
      <formula>#REF! &lt;&gt; $M846</formula>
    </cfRule>
  </conditionalFormatting>
  <conditionalFormatting sqref="M845">
    <cfRule type="expression" dxfId="12" priority="91">
      <formula>#REF! &lt;&gt; $M845</formula>
    </cfRule>
  </conditionalFormatting>
  <conditionalFormatting sqref="M1172">
    <cfRule type="expression" dxfId="11" priority="92">
      <formula>#REF! &lt;&gt; $M1172</formula>
    </cfRule>
  </conditionalFormatting>
  <conditionalFormatting sqref="M1168">
    <cfRule type="expression" dxfId="10" priority="93">
      <formula>#REF! &lt;&gt; $M1168</formula>
    </cfRule>
  </conditionalFormatting>
  <conditionalFormatting sqref="M1169">
    <cfRule type="expression" dxfId="9" priority="94">
      <formula>#REF! &lt;&gt; $M1169</formula>
    </cfRule>
  </conditionalFormatting>
  <conditionalFormatting sqref="M1170">
    <cfRule type="expression" dxfId="8" priority="95">
      <formula>#REF! &lt;&gt; $M1170</formula>
    </cfRule>
  </conditionalFormatting>
  <conditionalFormatting sqref="M1171">
    <cfRule type="expression" dxfId="7" priority="96">
      <formula>#REF! &lt;&gt; $M1171</formula>
    </cfRule>
  </conditionalFormatting>
  <conditionalFormatting sqref="N1:N1155 N1157:N1159 N1161:N1172 N1174:N1177">
    <cfRule type="expression" dxfId="6" priority="97">
      <formula>M1 &lt;&gt; N1</formula>
    </cfRule>
  </conditionalFormatting>
  <conditionalFormatting sqref="M1173">
    <cfRule type="expression" dxfId="5" priority="98">
      <formula>#REF! &lt;&gt; $M1173</formula>
    </cfRule>
  </conditionalFormatting>
  <conditionalFormatting sqref="N1173">
    <cfRule type="expression" dxfId="4" priority="99">
      <formula>M1173 &lt;&gt; N1173</formula>
    </cfRule>
  </conditionalFormatting>
  <conditionalFormatting sqref="M1160">
    <cfRule type="expression" dxfId="3" priority="100">
      <formula>#REF! &lt;&gt; $M1160</formula>
    </cfRule>
  </conditionalFormatting>
  <conditionalFormatting sqref="N1160">
    <cfRule type="expression" dxfId="2" priority="101">
      <formula>M1160 &lt;&gt; N1160</formula>
    </cfRule>
  </conditionalFormatting>
  <conditionalFormatting sqref="M1156">
    <cfRule type="expression" dxfId="1" priority="102">
      <formula>#REF! &lt;&gt; $M1156</formula>
    </cfRule>
  </conditionalFormatting>
  <conditionalFormatting sqref="N1156">
    <cfRule type="expression" dxfId="0" priority="103">
      <formula>M1156 &lt;&gt; N1156</formula>
    </cfRule>
  </conditionalFormatting>
  <dataValidations count="5">
    <dataValidation type="list" allowBlank="1" showInputMessage="1" showErrorMessage="1" prompt="Select trail from dropdown list or begin typing name for autofill. " sqref="C1:C154 C156:C170 C172:C203 C206:C294 B295:C304 C305:C349 B350:C371 C372:C430 C432:C436 C439:C470 C473:C1092 C1101:C1152 C1164:C1172 C1174:C1177" xr:uid="{00000000-0002-0000-0000-000000000000}">
      <formula1>Trails</formula1>
    </dataValidation>
    <dataValidation type="list" allowBlank="1" showInputMessage="1" showErrorMessage="1" prompt="Select camera from dropdown list or begin typing name for autofill. _x000a_" sqref="D1:D154 P1:P154 D156:D170 P156:P170 P172:P203 D172:D204 D206:D430 P206:P430 D432:D436 P432:P436 D439:D470 P439:P470 D472:D1177 P473:P1177" xr:uid="{00000000-0002-0000-0000-000001000000}">
      <formula1>Cameras</formula1>
    </dataValidation>
    <dataValidation type="list" allowBlank="1" showInputMessage="1" showErrorMessage="1" prompt="Select survey from dropdown list or begin typing name for autofill. " sqref="A1:A40 A54:A154 A156:A170 A172:A203 A206:A430 A432:A436 A439:A470 A473:A1177" xr:uid="{00000000-0002-0000-0000-000002000000}">
      <formula1>Surveys</formula1>
    </dataValidation>
    <dataValidation type="list" allowBlank="1" showInputMessage="1" showErrorMessage="1" prompt="Select site from dropdown list or begin typing name for autofill. " sqref="B1:B40 A41:B53 B54:B154 B156:B170 B172:B175 B177:B180 B183:B203 B206:B294 B305:B349 B465:B470 B473:B561 B563:B579 B581:B585 B588:B1056 B1059:B1092 B1093:C1100 B1101:B1139 B1141:B1143 B1149:B1152 B1153:C1163 B1164:B1172 B1173:C1173 B1174:B1177" xr:uid="{00000000-0002-0000-0000-000003000000}">
      <formula1>Sites</formula1>
    </dataValidation>
    <dataValidation type="decimal" allowBlank="1" showInputMessage="1" prompt="Double check start and end dates. It's either negative camera days or suspiciously large camera days. " sqref="M1:N8 N9 M10:N13 N14:N15 M16:N20 N21:N24 M25:N37 N38:N43 M44:N154 N155 M156:N170 N171 M172:N203 N204:N205 M206:N430 N431 M432:N436 N437:N438 M439:N470 N471:N472 M473:N504 N505:N512 M513:N514 N515:N516 M517:N517 N518:N521 M522:N535 N536:N537 M538:N662 N663:N667 M668:N668 N669:N671 M672:N717 N718 M719:N1147 N1148 M1149:N1152 N1153:N1154 M1155:N1163 N1164 M1165:N1173 M1174 M1176:M1177" xr:uid="{00000000-0002-0000-0000-000004000000}">
      <formula1>0</formula1>
      <formula2>200</formula2>
    </dataValidation>
  </dataValidations>
  <pageMargins left="0.7" right="0.7" top="0.75" bottom="0.75" header="0" footer="0"/>
  <pageSetup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2:Z1000"/>
  <sheetViews>
    <sheetView workbookViewId="0">
      <selection activeCell="A34" sqref="A34"/>
    </sheetView>
  </sheetViews>
  <sheetFormatPr baseColWidth="10" defaultColWidth="14.5" defaultRowHeight="15" customHeight="1" x14ac:dyDescent="0.2"/>
  <cols>
    <col min="1" max="1" width="18.5" customWidth="1"/>
    <col min="2" max="2" width="26.5" customWidth="1"/>
    <col min="3" max="3" width="8.6640625" customWidth="1"/>
    <col min="4" max="4" width="15.6640625" customWidth="1"/>
    <col min="5" max="5" width="26.5" customWidth="1"/>
    <col min="6" max="6" width="8.6640625" customWidth="1"/>
    <col min="7" max="7" width="25.6640625" customWidth="1"/>
    <col min="8" max="8" width="26.5" customWidth="1"/>
    <col min="9" max="10" width="8.6640625" customWidth="1"/>
    <col min="11" max="11" width="11" customWidth="1"/>
    <col min="12" max="12" width="18" customWidth="1"/>
  </cols>
  <sheetData>
    <row r="2" spans="1:26" ht="15" customHeight="1" x14ac:dyDescent="0.2">
      <c r="A2" s="7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</row>
    <row r="3" spans="1:26" ht="15" customHeight="1" x14ac:dyDescent="0.2">
      <c r="A3" s="7"/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</row>
    <row r="5" spans="1:26" x14ac:dyDescent="0.2">
      <c r="A5" s="37" t="s">
        <v>1</v>
      </c>
      <c r="B5" s="38" t="s">
        <v>700</v>
      </c>
      <c r="C5" s="19"/>
      <c r="D5" s="37" t="s">
        <v>0</v>
      </c>
      <c r="E5" s="38" t="s">
        <v>700</v>
      </c>
      <c r="G5" s="37" t="s">
        <v>2</v>
      </c>
      <c r="H5" s="38" t="s">
        <v>700</v>
      </c>
      <c r="I5" s="19"/>
      <c r="K5" s="37" t="s">
        <v>3</v>
      </c>
      <c r="L5" s="38" t="s">
        <v>700</v>
      </c>
    </row>
    <row r="6" spans="1:26" x14ac:dyDescent="0.2">
      <c r="A6" s="39" t="s">
        <v>17</v>
      </c>
      <c r="B6" s="40">
        <v>3752</v>
      </c>
      <c r="C6" s="19"/>
      <c r="D6" s="39" t="s">
        <v>64</v>
      </c>
      <c r="E6" s="40">
        <v>606</v>
      </c>
      <c r="G6" s="39" t="s">
        <v>156</v>
      </c>
      <c r="H6" s="40">
        <v>61</v>
      </c>
      <c r="K6" s="39">
        <v>1</v>
      </c>
      <c r="L6" s="40">
        <v>1693</v>
      </c>
    </row>
    <row r="7" spans="1:26" x14ac:dyDescent="0.2">
      <c r="A7" s="41" t="s">
        <v>65</v>
      </c>
      <c r="B7" s="42">
        <v>606</v>
      </c>
      <c r="C7" s="19"/>
      <c r="D7" s="41" t="s">
        <v>83</v>
      </c>
      <c r="E7" s="42">
        <v>571</v>
      </c>
      <c r="G7" s="41" t="s">
        <v>254</v>
      </c>
      <c r="H7" s="42">
        <v>530</v>
      </c>
      <c r="K7" s="41">
        <v>2</v>
      </c>
      <c r="L7" s="42">
        <v>1516</v>
      </c>
    </row>
    <row r="8" spans="1:26" x14ac:dyDescent="0.2">
      <c r="A8" s="41" t="s">
        <v>84</v>
      </c>
      <c r="B8" s="42">
        <v>2194</v>
      </c>
      <c r="C8" s="19"/>
      <c r="D8" s="41" t="s">
        <v>104</v>
      </c>
      <c r="E8" s="42">
        <v>751</v>
      </c>
      <c r="G8" s="41" t="s">
        <v>56</v>
      </c>
      <c r="H8" s="42">
        <v>37</v>
      </c>
      <c r="K8" s="41">
        <v>3</v>
      </c>
      <c r="L8" s="42">
        <v>363</v>
      </c>
    </row>
    <row r="9" spans="1:26" x14ac:dyDescent="0.2">
      <c r="A9" s="41" t="s">
        <v>136</v>
      </c>
      <c r="B9" s="42">
        <v>7039</v>
      </c>
      <c r="C9" s="19"/>
      <c r="D9" s="41" t="s">
        <v>135</v>
      </c>
      <c r="E9" s="42">
        <v>279</v>
      </c>
      <c r="G9" s="41" t="s">
        <v>266</v>
      </c>
      <c r="H9" s="42">
        <v>109</v>
      </c>
      <c r="K9" s="41">
        <v>4</v>
      </c>
      <c r="L9" s="42">
        <v>1746</v>
      </c>
    </row>
    <row r="10" spans="1:26" x14ac:dyDescent="0.2">
      <c r="A10" s="41" t="s">
        <v>187</v>
      </c>
      <c r="B10" s="42">
        <v>707</v>
      </c>
      <c r="C10" s="19"/>
      <c r="D10" s="41" t="s">
        <v>194</v>
      </c>
      <c r="E10" s="42">
        <v>118</v>
      </c>
      <c r="G10" s="41" t="s">
        <v>524</v>
      </c>
      <c r="H10" s="42">
        <v>460</v>
      </c>
      <c r="K10" s="41">
        <v>5</v>
      </c>
      <c r="L10" s="42">
        <v>1463</v>
      </c>
    </row>
    <row r="11" spans="1:26" x14ac:dyDescent="0.2">
      <c r="A11" s="41" t="s">
        <v>196</v>
      </c>
      <c r="B11" s="42">
        <v>4391</v>
      </c>
      <c r="D11" s="41" t="s">
        <v>192</v>
      </c>
      <c r="E11" s="42">
        <v>189</v>
      </c>
      <c r="G11" s="41" t="s">
        <v>536</v>
      </c>
      <c r="H11" s="42">
        <v>47</v>
      </c>
      <c r="K11" s="41">
        <v>6</v>
      </c>
      <c r="L11" s="42">
        <v>1920</v>
      </c>
    </row>
    <row r="12" spans="1:26" x14ac:dyDescent="0.2">
      <c r="A12" s="41" t="s">
        <v>238</v>
      </c>
      <c r="B12" s="42">
        <v>1450</v>
      </c>
      <c r="D12" s="41" t="s">
        <v>438</v>
      </c>
      <c r="E12" s="42">
        <v>326</v>
      </c>
      <c r="G12" s="41" t="s">
        <v>269</v>
      </c>
      <c r="H12" s="42">
        <v>377</v>
      </c>
      <c r="K12" s="41">
        <v>7</v>
      </c>
      <c r="L12" s="42">
        <v>1470</v>
      </c>
    </row>
    <row r="13" spans="1:26" x14ac:dyDescent="0.2">
      <c r="A13" s="41" t="s">
        <v>253</v>
      </c>
      <c r="B13" s="42">
        <v>1588</v>
      </c>
      <c r="C13" s="19"/>
      <c r="D13" s="41" t="s">
        <v>61</v>
      </c>
      <c r="E13" s="42">
        <v>3654</v>
      </c>
      <c r="G13" s="41" t="s">
        <v>513</v>
      </c>
      <c r="H13" s="42">
        <v>116</v>
      </c>
      <c r="K13" s="41">
        <v>8</v>
      </c>
      <c r="L13" s="42">
        <v>1023</v>
      </c>
    </row>
    <row r="14" spans="1:26" x14ac:dyDescent="0.2">
      <c r="A14" s="41" t="s">
        <v>280</v>
      </c>
      <c r="B14" s="42">
        <v>4773</v>
      </c>
      <c r="C14" s="19"/>
      <c r="D14" s="41" t="s">
        <v>16</v>
      </c>
      <c r="E14" s="42">
        <v>3706</v>
      </c>
      <c r="G14" s="41" t="s">
        <v>66</v>
      </c>
      <c r="H14" s="42">
        <v>606</v>
      </c>
      <c r="K14" s="41">
        <v>9</v>
      </c>
      <c r="L14" s="42">
        <v>69</v>
      </c>
    </row>
    <row r="15" spans="1:26" x14ac:dyDescent="0.2">
      <c r="A15" s="41" t="s">
        <v>298</v>
      </c>
      <c r="B15" s="42">
        <v>685</v>
      </c>
      <c r="C15" s="19"/>
      <c r="D15" s="41" t="s">
        <v>36</v>
      </c>
      <c r="E15" s="42">
        <v>4333</v>
      </c>
      <c r="G15" s="41" t="s">
        <v>231</v>
      </c>
      <c r="H15" s="42">
        <v>449</v>
      </c>
      <c r="K15" s="41">
        <v>10</v>
      </c>
      <c r="L15" s="42">
        <v>336</v>
      </c>
    </row>
    <row r="16" spans="1:26" x14ac:dyDescent="0.2">
      <c r="A16" s="41" t="s">
        <v>322</v>
      </c>
      <c r="B16" s="42">
        <v>4683</v>
      </c>
      <c r="C16" s="19"/>
      <c r="D16" s="41" t="s">
        <v>58</v>
      </c>
      <c r="E16" s="42">
        <v>709</v>
      </c>
      <c r="G16" s="41" t="s">
        <v>507</v>
      </c>
      <c r="H16" s="42">
        <v>409</v>
      </c>
      <c r="I16" s="19"/>
      <c r="K16" s="41">
        <v>11</v>
      </c>
      <c r="L16" s="42">
        <v>134</v>
      </c>
    </row>
    <row r="17" spans="1:12" x14ac:dyDescent="0.2">
      <c r="A17" s="41" t="s">
        <v>431</v>
      </c>
      <c r="B17" s="42">
        <v>21735</v>
      </c>
      <c r="C17" s="19"/>
      <c r="D17" s="41" t="s">
        <v>165</v>
      </c>
      <c r="E17" s="42">
        <v>2075</v>
      </c>
      <c r="G17" s="41" t="s">
        <v>53</v>
      </c>
      <c r="H17" s="42">
        <v>38</v>
      </c>
      <c r="K17" s="41">
        <v>12</v>
      </c>
      <c r="L17" s="42">
        <v>26</v>
      </c>
    </row>
    <row r="18" spans="1:12" x14ac:dyDescent="0.2">
      <c r="A18" s="41" t="s">
        <v>621</v>
      </c>
      <c r="B18" s="42">
        <v>8953</v>
      </c>
      <c r="C18" s="19"/>
      <c r="D18" s="41" t="s">
        <v>128</v>
      </c>
      <c r="E18" s="42">
        <v>1642</v>
      </c>
      <c r="G18" s="41" t="s">
        <v>500</v>
      </c>
      <c r="H18" s="42">
        <v>200</v>
      </c>
      <c r="K18" s="41">
        <v>16</v>
      </c>
      <c r="L18" s="42">
        <v>107</v>
      </c>
    </row>
    <row r="19" spans="1:12" x14ac:dyDescent="0.2">
      <c r="A19" s="41" t="s">
        <v>690</v>
      </c>
      <c r="B19" s="42">
        <v>1239</v>
      </c>
      <c r="D19" s="41" t="s">
        <v>287</v>
      </c>
      <c r="E19" s="42">
        <v>2732</v>
      </c>
      <c r="G19" s="41" t="s">
        <v>491</v>
      </c>
      <c r="H19" s="42">
        <v>547</v>
      </c>
      <c r="K19" s="41">
        <v>18</v>
      </c>
      <c r="L19" s="42">
        <v>107</v>
      </c>
    </row>
    <row r="20" spans="1:12" x14ac:dyDescent="0.2">
      <c r="A20" s="43" t="s">
        <v>701</v>
      </c>
      <c r="B20" s="44">
        <v>63795</v>
      </c>
      <c r="D20" s="41" t="s">
        <v>216</v>
      </c>
      <c r="E20" s="42">
        <v>1551</v>
      </c>
      <c r="G20" s="41" t="s">
        <v>644</v>
      </c>
      <c r="H20" s="42">
        <v>1992</v>
      </c>
      <c r="K20" s="41">
        <v>19</v>
      </c>
      <c r="L20" s="42">
        <v>402</v>
      </c>
    </row>
    <row r="21" spans="1:12" ht="15.75" customHeight="1" x14ac:dyDescent="0.2">
      <c r="A21" s="7"/>
      <c r="B21" s="7"/>
      <c r="D21" s="41" t="s">
        <v>195</v>
      </c>
      <c r="E21" s="42">
        <v>1327</v>
      </c>
      <c r="G21" s="41" t="s">
        <v>646</v>
      </c>
      <c r="H21" s="42">
        <v>1012</v>
      </c>
      <c r="K21" s="41">
        <v>22</v>
      </c>
      <c r="L21" s="42">
        <v>194</v>
      </c>
    </row>
    <row r="22" spans="1:12" ht="15.75" customHeight="1" x14ac:dyDescent="0.2">
      <c r="A22" s="7"/>
      <c r="B22" s="7"/>
      <c r="D22" s="41" t="s">
        <v>227</v>
      </c>
      <c r="E22" s="42">
        <v>377</v>
      </c>
      <c r="G22" s="41" t="s">
        <v>641</v>
      </c>
      <c r="H22" s="42">
        <v>897</v>
      </c>
      <c r="K22" s="41">
        <v>26</v>
      </c>
      <c r="L22" s="42">
        <v>828</v>
      </c>
    </row>
    <row r="23" spans="1:12" ht="15.75" customHeight="1" x14ac:dyDescent="0.2">
      <c r="D23" s="41" t="s">
        <v>295</v>
      </c>
      <c r="E23" s="42">
        <v>440</v>
      </c>
      <c r="G23" s="41" t="s">
        <v>187</v>
      </c>
      <c r="H23" s="42">
        <v>707</v>
      </c>
      <c r="K23" s="41" t="s">
        <v>551</v>
      </c>
      <c r="L23" s="42">
        <v>0</v>
      </c>
    </row>
    <row r="24" spans="1:12" ht="15.75" customHeight="1" x14ac:dyDescent="0.2">
      <c r="D24" s="41" t="s">
        <v>302</v>
      </c>
      <c r="E24" s="42">
        <v>315</v>
      </c>
      <c r="G24" s="41" t="s">
        <v>137</v>
      </c>
      <c r="H24" s="42">
        <v>1395</v>
      </c>
      <c r="K24" s="41" t="s">
        <v>549</v>
      </c>
      <c r="L24" s="42">
        <v>275</v>
      </c>
    </row>
    <row r="25" spans="1:12" ht="15.75" customHeight="1" x14ac:dyDescent="0.2">
      <c r="D25" s="41" t="s">
        <v>320</v>
      </c>
      <c r="E25" s="42">
        <v>78</v>
      </c>
      <c r="G25" s="41" t="s">
        <v>48</v>
      </c>
      <c r="H25" s="42">
        <v>101</v>
      </c>
      <c r="K25" s="41" t="s">
        <v>548</v>
      </c>
      <c r="L25" s="42">
        <v>447</v>
      </c>
    </row>
    <row r="26" spans="1:12" ht="15.75" customHeight="1" x14ac:dyDescent="0.2">
      <c r="D26" s="41" t="s">
        <v>346</v>
      </c>
      <c r="E26" s="42">
        <v>142</v>
      </c>
      <c r="G26" s="41" t="s">
        <v>622</v>
      </c>
      <c r="H26" s="42">
        <v>1797</v>
      </c>
      <c r="K26" s="41" t="s">
        <v>546</v>
      </c>
      <c r="L26" s="42">
        <v>0</v>
      </c>
    </row>
    <row r="27" spans="1:12" ht="15.75" customHeight="1" x14ac:dyDescent="0.2">
      <c r="D27" s="41" t="s">
        <v>385</v>
      </c>
      <c r="E27" s="42">
        <v>1170</v>
      </c>
      <c r="G27" s="41" t="s">
        <v>246</v>
      </c>
      <c r="H27" s="42">
        <v>0</v>
      </c>
      <c r="K27" s="41" t="s">
        <v>544</v>
      </c>
      <c r="L27" s="42">
        <v>0</v>
      </c>
    </row>
    <row r="28" spans="1:12" ht="15.75" customHeight="1" x14ac:dyDescent="0.2">
      <c r="D28" s="41" t="s">
        <v>411</v>
      </c>
      <c r="E28" s="42">
        <v>506</v>
      </c>
      <c r="G28" s="41" t="s">
        <v>482</v>
      </c>
      <c r="H28" s="42">
        <v>928</v>
      </c>
      <c r="K28" s="41" t="s">
        <v>19</v>
      </c>
      <c r="L28" s="42">
        <v>838</v>
      </c>
    </row>
    <row r="29" spans="1:12" ht="15.75" customHeight="1" x14ac:dyDescent="0.2">
      <c r="D29" s="41" t="s">
        <v>452</v>
      </c>
      <c r="E29" s="42">
        <v>99</v>
      </c>
      <c r="G29" s="41" t="s">
        <v>33</v>
      </c>
      <c r="H29" s="42">
        <v>440</v>
      </c>
      <c r="K29" s="41" t="s">
        <v>23</v>
      </c>
      <c r="L29" s="42">
        <v>541</v>
      </c>
    </row>
    <row r="30" spans="1:12" ht="15.75" customHeight="1" x14ac:dyDescent="0.2">
      <c r="D30" s="41" t="s">
        <v>441</v>
      </c>
      <c r="E30" s="42">
        <v>360</v>
      </c>
      <c r="G30" s="41" t="s">
        <v>243</v>
      </c>
      <c r="H30" s="42">
        <v>1</v>
      </c>
      <c r="K30" s="41" t="s">
        <v>34</v>
      </c>
      <c r="L30" s="42">
        <v>440</v>
      </c>
    </row>
    <row r="31" spans="1:12" ht="15.75" customHeight="1" x14ac:dyDescent="0.2">
      <c r="D31" s="41" t="s">
        <v>40</v>
      </c>
      <c r="E31" s="42">
        <v>5907</v>
      </c>
      <c r="G31" s="41" t="s">
        <v>196</v>
      </c>
      <c r="H31" s="42">
        <v>3942</v>
      </c>
      <c r="K31" s="41" t="s">
        <v>57</v>
      </c>
      <c r="L31" s="42">
        <v>37</v>
      </c>
    </row>
    <row r="32" spans="1:12" ht="15.75" customHeight="1" x14ac:dyDescent="0.2">
      <c r="D32" s="41" t="s">
        <v>42</v>
      </c>
      <c r="E32" s="42">
        <v>2831</v>
      </c>
      <c r="G32" s="41" t="s">
        <v>259</v>
      </c>
      <c r="H32" s="42">
        <v>572</v>
      </c>
      <c r="I32" s="19"/>
      <c r="K32" s="41" t="s">
        <v>32</v>
      </c>
      <c r="L32" s="42">
        <v>816</v>
      </c>
    </row>
    <row r="33" spans="1:12" ht="15.75" customHeight="1" x14ac:dyDescent="0.2">
      <c r="A33" s="45" t="s">
        <v>729</v>
      </c>
      <c r="D33" s="41" t="s">
        <v>47</v>
      </c>
      <c r="E33" s="42">
        <v>2833</v>
      </c>
      <c r="G33" s="41" t="s">
        <v>323</v>
      </c>
      <c r="H33" s="42">
        <v>194</v>
      </c>
      <c r="K33" s="41" t="s">
        <v>54</v>
      </c>
      <c r="L33" s="42">
        <v>0</v>
      </c>
    </row>
    <row r="34" spans="1:12" ht="15.75" customHeight="1" x14ac:dyDescent="0.2">
      <c r="D34" s="41" t="s">
        <v>130</v>
      </c>
      <c r="E34" s="42">
        <v>2044</v>
      </c>
      <c r="G34" s="41" t="s">
        <v>463</v>
      </c>
      <c r="H34" s="42">
        <v>21</v>
      </c>
      <c r="K34" s="41" t="s">
        <v>43</v>
      </c>
      <c r="L34" s="42">
        <v>142</v>
      </c>
    </row>
    <row r="35" spans="1:12" ht="15.75" customHeight="1" x14ac:dyDescent="0.2">
      <c r="D35" s="41" t="s">
        <v>131</v>
      </c>
      <c r="E35" s="42">
        <v>2155</v>
      </c>
      <c r="G35" s="41" t="s">
        <v>238</v>
      </c>
      <c r="H35" s="42">
        <v>1224</v>
      </c>
      <c r="K35" s="41" t="s">
        <v>29</v>
      </c>
      <c r="L35" s="42">
        <v>588</v>
      </c>
    </row>
    <row r="36" spans="1:12" ht="15.75" customHeight="1" x14ac:dyDescent="0.2">
      <c r="D36" s="41" t="s">
        <v>132</v>
      </c>
      <c r="E36" s="42">
        <v>2922</v>
      </c>
      <c r="G36" s="41" t="s">
        <v>468</v>
      </c>
      <c r="H36" s="42">
        <v>674</v>
      </c>
      <c r="K36" s="41" t="s">
        <v>25</v>
      </c>
      <c r="L36" s="42">
        <v>128</v>
      </c>
    </row>
    <row r="37" spans="1:12" ht="15.75" customHeight="1" x14ac:dyDescent="0.2">
      <c r="D37" s="41" t="s">
        <v>230</v>
      </c>
      <c r="E37" s="42">
        <v>1004</v>
      </c>
      <c r="G37" s="41" t="s">
        <v>363</v>
      </c>
      <c r="H37" s="42">
        <v>745</v>
      </c>
      <c r="K37" s="41" t="s">
        <v>174</v>
      </c>
      <c r="L37" s="42">
        <v>0</v>
      </c>
    </row>
    <row r="38" spans="1:12" ht="15.75" customHeight="1" x14ac:dyDescent="0.2">
      <c r="D38" s="41" t="s">
        <v>453</v>
      </c>
      <c r="E38" s="42">
        <v>316</v>
      </c>
      <c r="G38" s="41" t="s">
        <v>352</v>
      </c>
      <c r="H38" s="42">
        <v>999</v>
      </c>
      <c r="K38" s="41" t="s">
        <v>138</v>
      </c>
      <c r="L38" s="42">
        <v>271</v>
      </c>
    </row>
    <row r="39" spans="1:12" ht="15.75" customHeight="1" x14ac:dyDescent="0.2">
      <c r="D39" s="41" t="s">
        <v>443</v>
      </c>
      <c r="E39" s="42">
        <v>910</v>
      </c>
      <c r="G39" s="41" t="s">
        <v>18</v>
      </c>
      <c r="H39" s="42">
        <v>1458</v>
      </c>
      <c r="K39" s="41" t="s">
        <v>161</v>
      </c>
      <c r="L39" s="42">
        <v>609</v>
      </c>
    </row>
    <row r="40" spans="1:12" ht="15.75" customHeight="1" x14ac:dyDescent="0.2">
      <c r="D40" s="41" t="s">
        <v>52</v>
      </c>
      <c r="E40" s="42">
        <v>2677</v>
      </c>
      <c r="G40" s="41" t="s">
        <v>31</v>
      </c>
      <c r="H40" s="42">
        <v>442</v>
      </c>
      <c r="K40" s="41" t="s">
        <v>181</v>
      </c>
      <c r="L40" s="42">
        <v>102</v>
      </c>
    </row>
    <row r="41" spans="1:12" ht="15.75" customHeight="1" x14ac:dyDescent="0.2">
      <c r="D41" s="41" t="s">
        <v>193</v>
      </c>
      <c r="E41" s="42">
        <v>540</v>
      </c>
      <c r="G41" s="41" t="s">
        <v>24</v>
      </c>
      <c r="H41" s="42">
        <v>368</v>
      </c>
      <c r="K41" s="41" t="s">
        <v>147</v>
      </c>
      <c r="L41" s="42">
        <v>1124</v>
      </c>
    </row>
    <row r="42" spans="1:12" ht="15.75" customHeight="1" x14ac:dyDescent="0.2">
      <c r="D42" s="41" t="s">
        <v>182</v>
      </c>
      <c r="E42" s="42">
        <v>1183</v>
      </c>
      <c r="G42" s="41" t="s">
        <v>142</v>
      </c>
      <c r="H42" s="42">
        <v>1722</v>
      </c>
      <c r="K42" s="41" t="s">
        <v>148</v>
      </c>
      <c r="L42" s="42">
        <v>678</v>
      </c>
    </row>
    <row r="43" spans="1:12" ht="15.75" customHeight="1" x14ac:dyDescent="0.2">
      <c r="D43" s="41" t="s">
        <v>133</v>
      </c>
      <c r="E43" s="42">
        <v>562</v>
      </c>
      <c r="G43" s="41" t="s">
        <v>461</v>
      </c>
      <c r="H43" s="42">
        <v>326</v>
      </c>
      <c r="K43" s="41" t="s">
        <v>150</v>
      </c>
      <c r="L43" s="42">
        <v>481</v>
      </c>
    </row>
    <row r="44" spans="1:12" ht="15.75" customHeight="1" x14ac:dyDescent="0.2">
      <c r="D44" s="41" t="s">
        <v>134</v>
      </c>
      <c r="E44" s="42">
        <v>3041</v>
      </c>
      <c r="G44" s="41" t="s">
        <v>51</v>
      </c>
      <c r="H44" s="42">
        <v>222</v>
      </c>
      <c r="K44" s="41" t="s">
        <v>152</v>
      </c>
      <c r="L44" s="42">
        <v>505</v>
      </c>
    </row>
    <row r="45" spans="1:12" ht="15.75" customHeight="1" x14ac:dyDescent="0.2">
      <c r="D45" s="41" t="s">
        <v>186</v>
      </c>
      <c r="E45" s="42">
        <v>1926</v>
      </c>
      <c r="G45" s="41" t="s">
        <v>432</v>
      </c>
      <c r="H45" s="42">
        <v>205</v>
      </c>
      <c r="K45" s="41" t="s">
        <v>153</v>
      </c>
      <c r="L45" s="42">
        <v>628</v>
      </c>
    </row>
    <row r="46" spans="1:12" ht="15.75" customHeight="1" x14ac:dyDescent="0.2">
      <c r="D46" s="41" t="s">
        <v>297</v>
      </c>
      <c r="E46" s="42">
        <v>1464</v>
      </c>
      <c r="G46" s="41" t="s">
        <v>631</v>
      </c>
      <c r="H46" s="42">
        <v>2484</v>
      </c>
      <c r="K46" s="41" t="s">
        <v>160</v>
      </c>
      <c r="L46" s="42">
        <v>0</v>
      </c>
    </row>
    <row r="47" spans="1:12" ht="15.75" customHeight="1" x14ac:dyDescent="0.2">
      <c r="D47" s="41" t="s">
        <v>444</v>
      </c>
      <c r="E47" s="42">
        <v>1204</v>
      </c>
      <c r="G47" s="41" t="s">
        <v>543</v>
      </c>
      <c r="H47" s="42">
        <v>0</v>
      </c>
      <c r="K47" s="41" t="s">
        <v>157</v>
      </c>
      <c r="L47" s="42">
        <v>13</v>
      </c>
    </row>
    <row r="48" spans="1:12" ht="15.75" customHeight="1" x14ac:dyDescent="0.2">
      <c r="D48" s="41" t="s">
        <v>334</v>
      </c>
      <c r="E48" s="42">
        <v>980</v>
      </c>
      <c r="G48" s="41" t="s">
        <v>245</v>
      </c>
      <c r="H48" s="42">
        <v>225</v>
      </c>
      <c r="K48" s="41" t="s">
        <v>158</v>
      </c>
      <c r="L48" s="42">
        <v>24</v>
      </c>
    </row>
    <row r="49" spans="4:12" ht="15.75" customHeight="1" x14ac:dyDescent="0.2">
      <c r="D49" s="41" t="s">
        <v>651</v>
      </c>
      <c r="E49" s="42">
        <v>553</v>
      </c>
      <c r="G49" s="41" t="s">
        <v>85</v>
      </c>
      <c r="H49" s="42">
        <v>2879</v>
      </c>
      <c r="K49" s="41" t="s">
        <v>159</v>
      </c>
      <c r="L49" s="42">
        <v>24</v>
      </c>
    </row>
    <row r="50" spans="4:12" ht="15.75" customHeight="1" x14ac:dyDescent="0.2">
      <c r="D50" s="41" t="s">
        <v>229</v>
      </c>
      <c r="E50" s="42">
        <v>687</v>
      </c>
      <c r="G50" s="41" t="s">
        <v>627</v>
      </c>
      <c r="H50" s="42">
        <v>571</v>
      </c>
      <c r="I50" s="19"/>
      <c r="J50" s="19"/>
      <c r="K50" s="41" t="s">
        <v>178</v>
      </c>
      <c r="L50" s="42">
        <v>102</v>
      </c>
    </row>
    <row r="51" spans="4:12" ht="15.75" customHeight="1" x14ac:dyDescent="0.2">
      <c r="D51" s="43" t="s">
        <v>701</v>
      </c>
      <c r="E51" s="44">
        <v>63795</v>
      </c>
      <c r="G51" s="41" t="s">
        <v>545</v>
      </c>
      <c r="H51" s="42">
        <v>443</v>
      </c>
      <c r="I51" s="19"/>
      <c r="J51" s="19"/>
      <c r="K51" s="41" t="s">
        <v>140</v>
      </c>
      <c r="L51" s="42">
        <v>0</v>
      </c>
    </row>
    <row r="52" spans="4:12" ht="15.75" customHeight="1" x14ac:dyDescent="0.2">
      <c r="G52" s="41" t="s">
        <v>374</v>
      </c>
      <c r="H52" s="42">
        <v>616</v>
      </c>
      <c r="K52" s="41" t="s">
        <v>162</v>
      </c>
      <c r="L52" s="42">
        <v>561</v>
      </c>
    </row>
    <row r="53" spans="4:12" ht="15.75" customHeight="1" x14ac:dyDescent="0.2">
      <c r="G53" s="41" t="s">
        <v>341</v>
      </c>
      <c r="H53" s="42">
        <v>1041</v>
      </c>
      <c r="K53" s="41" t="s">
        <v>143</v>
      </c>
      <c r="L53" s="42">
        <v>306</v>
      </c>
    </row>
    <row r="54" spans="4:12" ht="15.75" customHeight="1" x14ac:dyDescent="0.2">
      <c r="G54" s="41" t="s">
        <v>466</v>
      </c>
      <c r="H54" s="42">
        <v>12460</v>
      </c>
      <c r="K54" s="41" t="s">
        <v>144</v>
      </c>
      <c r="L54" s="42">
        <v>527</v>
      </c>
    </row>
    <row r="55" spans="4:12" ht="15.75" customHeight="1" x14ac:dyDescent="0.2">
      <c r="G55" s="41" t="s">
        <v>608</v>
      </c>
      <c r="H55" s="42">
        <v>23</v>
      </c>
      <c r="K55" s="41" t="s">
        <v>179</v>
      </c>
      <c r="L55" s="42">
        <v>0</v>
      </c>
    </row>
    <row r="56" spans="4:12" ht="15.75" customHeight="1" x14ac:dyDescent="0.2">
      <c r="G56" s="41" t="s">
        <v>146</v>
      </c>
      <c r="H56" s="42">
        <v>2430</v>
      </c>
      <c r="K56" s="41" t="s">
        <v>145</v>
      </c>
      <c r="L56" s="42">
        <v>254</v>
      </c>
    </row>
    <row r="57" spans="4:12" ht="15.75" customHeight="1" x14ac:dyDescent="0.2">
      <c r="G57" s="41" t="s">
        <v>149</v>
      </c>
      <c r="H57" s="42">
        <v>893</v>
      </c>
      <c r="K57" s="41" t="s">
        <v>164</v>
      </c>
      <c r="L57" s="42">
        <v>795</v>
      </c>
    </row>
    <row r="58" spans="4:12" ht="15.75" customHeight="1" x14ac:dyDescent="0.2">
      <c r="G58" s="41" t="s">
        <v>497</v>
      </c>
      <c r="H58" s="42">
        <v>167</v>
      </c>
      <c r="K58" s="41" t="s">
        <v>542</v>
      </c>
      <c r="L58" s="42">
        <v>47</v>
      </c>
    </row>
    <row r="59" spans="4:12" ht="15.75" customHeight="1" x14ac:dyDescent="0.2">
      <c r="G59" s="41" t="s">
        <v>328</v>
      </c>
      <c r="H59" s="42">
        <v>1088</v>
      </c>
      <c r="K59" s="41" t="s">
        <v>541</v>
      </c>
      <c r="L59" s="42">
        <v>34</v>
      </c>
    </row>
    <row r="60" spans="4:12" ht="15.75" customHeight="1" x14ac:dyDescent="0.2">
      <c r="G60" s="41" t="s">
        <v>449</v>
      </c>
      <c r="H60" s="42">
        <v>520</v>
      </c>
      <c r="K60" s="41" t="s">
        <v>540</v>
      </c>
      <c r="L60" s="42">
        <v>39</v>
      </c>
    </row>
    <row r="61" spans="4:12" ht="15.75" customHeight="1" x14ac:dyDescent="0.2">
      <c r="G61" s="41" t="s">
        <v>37</v>
      </c>
      <c r="H61" s="42">
        <v>675</v>
      </c>
      <c r="K61" s="41" t="s">
        <v>539</v>
      </c>
      <c r="L61" s="42">
        <v>27</v>
      </c>
    </row>
    <row r="62" spans="4:12" ht="15.75" customHeight="1" x14ac:dyDescent="0.2">
      <c r="G62" s="41" t="s">
        <v>281</v>
      </c>
      <c r="H62" s="42">
        <v>4773</v>
      </c>
      <c r="K62" s="41" t="s">
        <v>538</v>
      </c>
      <c r="L62" s="42">
        <v>9</v>
      </c>
    </row>
    <row r="63" spans="4:12" ht="15.75" customHeight="1" x14ac:dyDescent="0.2">
      <c r="G63" s="41" t="s">
        <v>163</v>
      </c>
      <c r="H63" s="42">
        <v>299</v>
      </c>
      <c r="K63" s="41" t="s">
        <v>537</v>
      </c>
      <c r="L63" s="42">
        <v>47</v>
      </c>
    </row>
    <row r="64" spans="4:12" ht="15.75" customHeight="1" x14ac:dyDescent="0.2">
      <c r="G64" s="41" t="s">
        <v>690</v>
      </c>
      <c r="H64" s="42">
        <v>1239</v>
      </c>
      <c r="K64" s="41" t="s">
        <v>535</v>
      </c>
      <c r="L64" s="42">
        <v>1</v>
      </c>
    </row>
    <row r="65" spans="7:12" ht="15.75" customHeight="1" x14ac:dyDescent="0.2">
      <c r="G65" s="41" t="s">
        <v>439</v>
      </c>
      <c r="H65" s="42">
        <v>4015</v>
      </c>
      <c r="K65" s="41" t="s">
        <v>533</v>
      </c>
      <c r="L65" s="42">
        <v>47</v>
      </c>
    </row>
    <row r="66" spans="7:12" ht="15.75" customHeight="1" x14ac:dyDescent="0.2">
      <c r="G66" s="41" t="s">
        <v>550</v>
      </c>
      <c r="H66" s="42">
        <v>0</v>
      </c>
      <c r="K66" s="41" t="s">
        <v>531</v>
      </c>
      <c r="L66" s="42">
        <v>91</v>
      </c>
    </row>
    <row r="67" spans="7:12" ht="15.75" customHeight="1" x14ac:dyDescent="0.2">
      <c r="G67" s="41" t="s">
        <v>516</v>
      </c>
      <c r="H67" s="42">
        <v>174</v>
      </c>
      <c r="K67" s="41" t="s">
        <v>529</v>
      </c>
      <c r="L67" s="42">
        <v>35</v>
      </c>
    </row>
    <row r="68" spans="7:12" ht="15.75" customHeight="1" x14ac:dyDescent="0.2">
      <c r="G68" s="41" t="s">
        <v>728</v>
      </c>
      <c r="H68" s="42">
        <v>410</v>
      </c>
      <c r="K68" s="41" t="s">
        <v>527</v>
      </c>
      <c r="L68" s="42">
        <v>47</v>
      </c>
    </row>
    <row r="69" spans="7:12" ht="15.75" customHeight="1" x14ac:dyDescent="0.2">
      <c r="G69" s="43" t="s">
        <v>701</v>
      </c>
      <c r="H69" s="44">
        <v>63795</v>
      </c>
      <c r="K69" s="41" t="s">
        <v>526</v>
      </c>
      <c r="L69" s="42">
        <v>47</v>
      </c>
    </row>
    <row r="70" spans="7:12" ht="15.75" customHeight="1" x14ac:dyDescent="0.2">
      <c r="K70" s="41" t="s">
        <v>525</v>
      </c>
      <c r="L70" s="42">
        <v>36</v>
      </c>
    </row>
    <row r="71" spans="7:12" ht="15.75" customHeight="1" x14ac:dyDescent="0.2">
      <c r="K71" s="41" t="s">
        <v>523</v>
      </c>
      <c r="L71" s="42">
        <v>40</v>
      </c>
    </row>
    <row r="72" spans="7:12" ht="15.75" customHeight="1" x14ac:dyDescent="0.2">
      <c r="K72" s="41" t="s">
        <v>522</v>
      </c>
      <c r="L72" s="42">
        <v>48</v>
      </c>
    </row>
    <row r="73" spans="7:12" ht="15.75" customHeight="1" x14ac:dyDescent="0.2">
      <c r="K73" s="41" t="s">
        <v>521</v>
      </c>
      <c r="L73" s="42">
        <v>20</v>
      </c>
    </row>
    <row r="74" spans="7:12" ht="15.75" customHeight="1" x14ac:dyDescent="0.2">
      <c r="K74" s="41" t="s">
        <v>519</v>
      </c>
      <c r="L74" s="42">
        <v>58</v>
      </c>
    </row>
    <row r="75" spans="7:12" ht="15.75" customHeight="1" x14ac:dyDescent="0.2">
      <c r="K75" s="41" t="s">
        <v>518</v>
      </c>
      <c r="L75" s="42">
        <v>56</v>
      </c>
    </row>
    <row r="76" spans="7:12" ht="15.75" customHeight="1" x14ac:dyDescent="0.2">
      <c r="K76" s="41" t="s">
        <v>514</v>
      </c>
      <c r="L76" s="42">
        <v>42</v>
      </c>
    </row>
    <row r="77" spans="7:12" ht="15.75" customHeight="1" x14ac:dyDescent="0.2">
      <c r="K77" s="41" t="s">
        <v>67</v>
      </c>
      <c r="L77" s="42">
        <v>0</v>
      </c>
    </row>
    <row r="78" spans="7:12" ht="15.75" customHeight="1" x14ac:dyDescent="0.2">
      <c r="K78" s="41" t="s">
        <v>70</v>
      </c>
      <c r="L78" s="42">
        <v>206</v>
      </c>
    </row>
    <row r="79" spans="7:12" ht="15.75" customHeight="1" x14ac:dyDescent="0.2">
      <c r="K79" s="41" t="s">
        <v>72</v>
      </c>
      <c r="L79" s="42">
        <v>174</v>
      </c>
    </row>
    <row r="80" spans="7:12" ht="15.75" customHeight="1" x14ac:dyDescent="0.2">
      <c r="K80" s="41" t="s">
        <v>80</v>
      </c>
      <c r="L80" s="42">
        <v>71</v>
      </c>
    </row>
    <row r="81" spans="11:12" ht="15.75" customHeight="1" x14ac:dyDescent="0.2">
      <c r="K81" s="41" t="s">
        <v>74</v>
      </c>
      <c r="L81" s="42">
        <v>155</v>
      </c>
    </row>
    <row r="82" spans="11:12" ht="15.75" customHeight="1" x14ac:dyDescent="0.2">
      <c r="K82" s="41" t="s">
        <v>232</v>
      </c>
      <c r="L82" s="42">
        <v>144</v>
      </c>
    </row>
    <row r="83" spans="11:12" ht="15.75" customHeight="1" x14ac:dyDescent="0.2">
      <c r="K83" s="41" t="s">
        <v>233</v>
      </c>
      <c r="L83" s="42">
        <v>64</v>
      </c>
    </row>
    <row r="84" spans="11:12" ht="15.75" customHeight="1" x14ac:dyDescent="0.2">
      <c r="K84" s="41" t="s">
        <v>234</v>
      </c>
      <c r="L84" s="42">
        <v>64</v>
      </c>
    </row>
    <row r="85" spans="11:12" ht="15.75" customHeight="1" x14ac:dyDescent="0.2">
      <c r="K85" s="41" t="s">
        <v>235</v>
      </c>
      <c r="L85" s="42">
        <v>64</v>
      </c>
    </row>
    <row r="86" spans="11:12" ht="15.75" customHeight="1" x14ac:dyDescent="0.2">
      <c r="K86" s="41" t="s">
        <v>236</v>
      </c>
      <c r="L86" s="42">
        <v>64</v>
      </c>
    </row>
    <row r="87" spans="11:12" ht="15.75" customHeight="1" x14ac:dyDescent="0.2">
      <c r="K87" s="41" t="s">
        <v>237</v>
      </c>
      <c r="L87" s="42">
        <v>49</v>
      </c>
    </row>
    <row r="88" spans="11:12" ht="15.75" customHeight="1" x14ac:dyDescent="0.2">
      <c r="K88" s="41" t="s">
        <v>512</v>
      </c>
      <c r="L88" s="42">
        <v>79</v>
      </c>
    </row>
    <row r="89" spans="11:12" ht="15.75" customHeight="1" x14ac:dyDescent="0.2">
      <c r="K89" s="41" t="s">
        <v>511</v>
      </c>
      <c r="L89" s="42">
        <v>106</v>
      </c>
    </row>
    <row r="90" spans="11:12" ht="15.75" customHeight="1" x14ac:dyDescent="0.2">
      <c r="K90" s="41" t="s">
        <v>510</v>
      </c>
      <c r="L90" s="42">
        <v>87</v>
      </c>
    </row>
    <row r="91" spans="11:12" ht="15.75" customHeight="1" x14ac:dyDescent="0.2">
      <c r="K91" s="41" t="s">
        <v>509</v>
      </c>
      <c r="L91" s="42">
        <v>103</v>
      </c>
    </row>
    <row r="92" spans="11:12" ht="15.75" customHeight="1" x14ac:dyDescent="0.2">
      <c r="K92" s="41" t="s">
        <v>508</v>
      </c>
      <c r="L92" s="42">
        <v>34</v>
      </c>
    </row>
    <row r="93" spans="11:12" ht="15.75" customHeight="1" x14ac:dyDescent="0.2">
      <c r="K93" s="41" t="s">
        <v>176</v>
      </c>
      <c r="L93" s="42">
        <v>35</v>
      </c>
    </row>
    <row r="94" spans="11:12" ht="15.75" customHeight="1" x14ac:dyDescent="0.2">
      <c r="K94" s="41" t="s">
        <v>506</v>
      </c>
      <c r="L94" s="42">
        <v>0</v>
      </c>
    </row>
    <row r="95" spans="11:12" ht="15.75" customHeight="1" x14ac:dyDescent="0.2">
      <c r="K95" s="41" t="s">
        <v>505</v>
      </c>
      <c r="L95" s="42">
        <v>65</v>
      </c>
    </row>
    <row r="96" spans="11:12" ht="15.75" customHeight="1" x14ac:dyDescent="0.2">
      <c r="K96" s="41" t="s">
        <v>504</v>
      </c>
      <c r="L96" s="42">
        <v>45</v>
      </c>
    </row>
    <row r="97" spans="11:12" ht="15.75" customHeight="1" x14ac:dyDescent="0.2">
      <c r="K97" s="41" t="s">
        <v>503</v>
      </c>
      <c r="L97" s="42">
        <v>45</v>
      </c>
    </row>
    <row r="98" spans="11:12" ht="15.75" customHeight="1" x14ac:dyDescent="0.2">
      <c r="K98" s="41" t="s">
        <v>502</v>
      </c>
      <c r="L98" s="42">
        <v>0</v>
      </c>
    </row>
    <row r="99" spans="11:12" ht="15.75" customHeight="1" x14ac:dyDescent="0.2">
      <c r="K99" s="41" t="s">
        <v>501</v>
      </c>
      <c r="L99" s="42">
        <v>45</v>
      </c>
    </row>
    <row r="100" spans="11:12" ht="15.75" customHeight="1" x14ac:dyDescent="0.2">
      <c r="K100" s="41" t="s">
        <v>498</v>
      </c>
      <c r="L100" s="42">
        <v>167</v>
      </c>
    </row>
    <row r="101" spans="11:12" ht="15.75" customHeight="1" x14ac:dyDescent="0.2">
      <c r="K101" s="41" t="s">
        <v>496</v>
      </c>
      <c r="L101" s="42">
        <v>19</v>
      </c>
    </row>
    <row r="102" spans="11:12" ht="15.75" customHeight="1" x14ac:dyDescent="0.2">
      <c r="K102" s="41" t="s">
        <v>495</v>
      </c>
      <c r="L102" s="42">
        <v>49</v>
      </c>
    </row>
    <row r="103" spans="11:12" ht="15.75" customHeight="1" x14ac:dyDescent="0.2">
      <c r="K103" s="41" t="s">
        <v>494</v>
      </c>
      <c r="L103" s="42">
        <v>60</v>
      </c>
    </row>
    <row r="104" spans="11:12" ht="15.75" customHeight="1" x14ac:dyDescent="0.2">
      <c r="K104" s="41" t="s">
        <v>493</v>
      </c>
      <c r="L104" s="42">
        <v>260</v>
      </c>
    </row>
    <row r="105" spans="11:12" ht="15.75" customHeight="1" x14ac:dyDescent="0.2">
      <c r="K105" s="41" t="s">
        <v>492</v>
      </c>
      <c r="L105" s="42">
        <v>159</v>
      </c>
    </row>
    <row r="106" spans="11:12" ht="15.75" customHeight="1" x14ac:dyDescent="0.2">
      <c r="K106" s="41" t="s">
        <v>188</v>
      </c>
      <c r="L106" s="42">
        <v>175</v>
      </c>
    </row>
    <row r="107" spans="11:12" ht="15.75" customHeight="1" x14ac:dyDescent="0.2">
      <c r="K107" s="41" t="s">
        <v>191</v>
      </c>
      <c r="L107" s="42">
        <v>532</v>
      </c>
    </row>
    <row r="108" spans="11:12" ht="15.75" customHeight="1" x14ac:dyDescent="0.2">
      <c r="K108" s="41" t="s">
        <v>490</v>
      </c>
      <c r="L108" s="42">
        <v>76</v>
      </c>
    </row>
    <row r="109" spans="11:12" ht="15.75" customHeight="1" x14ac:dyDescent="0.2">
      <c r="K109" s="41" t="s">
        <v>489</v>
      </c>
      <c r="L109" s="42">
        <v>173</v>
      </c>
    </row>
    <row r="110" spans="11:12" ht="15.75" customHeight="1" x14ac:dyDescent="0.2">
      <c r="K110" s="41" t="s">
        <v>488</v>
      </c>
      <c r="L110" s="42">
        <v>194</v>
      </c>
    </row>
    <row r="111" spans="11:12" ht="15.75" customHeight="1" x14ac:dyDescent="0.2">
      <c r="K111" s="41" t="s">
        <v>487</v>
      </c>
      <c r="L111" s="42">
        <v>81</v>
      </c>
    </row>
    <row r="112" spans="11:12" ht="15.75" customHeight="1" x14ac:dyDescent="0.2">
      <c r="K112" s="41" t="s">
        <v>486</v>
      </c>
      <c r="L112" s="42">
        <v>13</v>
      </c>
    </row>
    <row r="113" spans="11:12" ht="15.75" customHeight="1" x14ac:dyDescent="0.2">
      <c r="K113" s="41" t="s">
        <v>485</v>
      </c>
      <c r="L113" s="42">
        <v>59</v>
      </c>
    </row>
    <row r="114" spans="11:12" ht="15.75" customHeight="1" x14ac:dyDescent="0.2">
      <c r="K114" s="41" t="s">
        <v>484</v>
      </c>
      <c r="L114" s="42">
        <v>57</v>
      </c>
    </row>
    <row r="115" spans="11:12" ht="15.75" customHeight="1" x14ac:dyDescent="0.2">
      <c r="K115" s="41" t="s">
        <v>483</v>
      </c>
      <c r="L115" s="42">
        <v>22</v>
      </c>
    </row>
    <row r="116" spans="11:12" ht="15.75" customHeight="1" x14ac:dyDescent="0.2">
      <c r="K116" s="41" t="s">
        <v>197</v>
      </c>
      <c r="L116" s="42">
        <v>398</v>
      </c>
    </row>
    <row r="117" spans="11:12" ht="15.75" customHeight="1" x14ac:dyDescent="0.2">
      <c r="K117" s="41" t="s">
        <v>205</v>
      </c>
      <c r="L117" s="42">
        <v>167</v>
      </c>
    </row>
    <row r="118" spans="11:12" ht="15.75" customHeight="1" x14ac:dyDescent="0.2">
      <c r="K118" s="41" t="s">
        <v>206</v>
      </c>
      <c r="L118" s="42">
        <v>493</v>
      </c>
    </row>
    <row r="119" spans="11:12" ht="15.75" customHeight="1" x14ac:dyDescent="0.2">
      <c r="K119" s="41" t="s">
        <v>208</v>
      </c>
      <c r="L119" s="42">
        <v>488</v>
      </c>
    </row>
    <row r="120" spans="11:12" ht="15.75" customHeight="1" x14ac:dyDescent="0.2">
      <c r="K120" s="41" t="s">
        <v>199</v>
      </c>
      <c r="L120" s="42">
        <v>419</v>
      </c>
    </row>
    <row r="121" spans="11:12" ht="15.75" customHeight="1" x14ac:dyDescent="0.2">
      <c r="K121" s="41" t="s">
        <v>210</v>
      </c>
      <c r="L121" s="42">
        <v>493</v>
      </c>
    </row>
    <row r="122" spans="11:12" ht="15.75" customHeight="1" x14ac:dyDescent="0.2">
      <c r="K122" s="41" t="s">
        <v>201</v>
      </c>
      <c r="L122" s="42">
        <v>464</v>
      </c>
    </row>
    <row r="123" spans="11:12" ht="15.75" customHeight="1" x14ac:dyDescent="0.2">
      <c r="K123" s="41" t="s">
        <v>212</v>
      </c>
      <c r="L123" s="42">
        <v>362</v>
      </c>
    </row>
    <row r="124" spans="11:12" ht="15.75" customHeight="1" x14ac:dyDescent="0.2">
      <c r="K124" s="41" t="s">
        <v>203</v>
      </c>
      <c r="L124" s="42">
        <v>166</v>
      </c>
    </row>
    <row r="125" spans="11:12" ht="15.75" customHeight="1" x14ac:dyDescent="0.2">
      <c r="K125" s="41" t="s">
        <v>214</v>
      </c>
      <c r="L125" s="42">
        <v>492</v>
      </c>
    </row>
    <row r="126" spans="11:12" ht="15.75" customHeight="1" x14ac:dyDescent="0.2">
      <c r="K126" s="41" t="s">
        <v>481</v>
      </c>
      <c r="L126" s="42">
        <v>56</v>
      </c>
    </row>
    <row r="127" spans="11:12" ht="15.75" customHeight="1" x14ac:dyDescent="0.2">
      <c r="K127" s="41" t="s">
        <v>480</v>
      </c>
      <c r="L127" s="42">
        <v>162</v>
      </c>
    </row>
    <row r="128" spans="11:12" ht="15.75" customHeight="1" x14ac:dyDescent="0.2">
      <c r="K128" s="41" t="s">
        <v>479</v>
      </c>
      <c r="L128" s="42">
        <v>95</v>
      </c>
    </row>
    <row r="129" spans="11:12" ht="15.75" customHeight="1" x14ac:dyDescent="0.2">
      <c r="K129" s="41" t="s">
        <v>478</v>
      </c>
      <c r="L129" s="42">
        <v>175</v>
      </c>
    </row>
    <row r="130" spans="11:12" ht="15.75" customHeight="1" x14ac:dyDescent="0.2">
      <c r="K130" s="41" t="s">
        <v>477</v>
      </c>
      <c r="L130" s="42">
        <v>14</v>
      </c>
    </row>
    <row r="131" spans="11:12" ht="15.75" customHeight="1" x14ac:dyDescent="0.2">
      <c r="K131" s="41" t="s">
        <v>475</v>
      </c>
      <c r="L131" s="42">
        <v>43</v>
      </c>
    </row>
    <row r="132" spans="11:12" ht="15.75" customHeight="1" x14ac:dyDescent="0.2">
      <c r="K132" s="41" t="s">
        <v>473</v>
      </c>
      <c r="L132" s="42">
        <v>43</v>
      </c>
    </row>
    <row r="133" spans="11:12" ht="15.75" customHeight="1" x14ac:dyDescent="0.2">
      <c r="K133" s="41" t="s">
        <v>471</v>
      </c>
      <c r="L133" s="42">
        <v>43</v>
      </c>
    </row>
    <row r="134" spans="11:12" ht="15.75" customHeight="1" x14ac:dyDescent="0.2">
      <c r="K134" s="41" t="s">
        <v>469</v>
      </c>
      <c r="L134" s="42">
        <v>43</v>
      </c>
    </row>
    <row r="135" spans="11:12" ht="15.75" customHeight="1" x14ac:dyDescent="0.2">
      <c r="K135" s="41" t="s">
        <v>324</v>
      </c>
      <c r="L135" s="42">
        <v>1142</v>
      </c>
    </row>
    <row r="136" spans="11:12" ht="15.75" customHeight="1" x14ac:dyDescent="0.2">
      <c r="K136" s="41" t="s">
        <v>325</v>
      </c>
      <c r="L136" s="42">
        <v>1103</v>
      </c>
    </row>
    <row r="137" spans="11:12" ht="15.75" customHeight="1" x14ac:dyDescent="0.2">
      <c r="K137" s="41" t="s">
        <v>326</v>
      </c>
      <c r="L137" s="42">
        <v>1059</v>
      </c>
    </row>
    <row r="138" spans="11:12" ht="15.75" customHeight="1" x14ac:dyDescent="0.2">
      <c r="K138" s="41" t="s">
        <v>327</v>
      </c>
      <c r="L138" s="42">
        <v>763</v>
      </c>
    </row>
    <row r="139" spans="11:12" ht="15.75" customHeight="1" x14ac:dyDescent="0.2">
      <c r="K139" s="41" t="s">
        <v>372</v>
      </c>
      <c r="L139" s="42">
        <v>616</v>
      </c>
    </row>
    <row r="140" spans="11:12" ht="15.75" customHeight="1" x14ac:dyDescent="0.2">
      <c r="K140" s="41" t="s">
        <v>467</v>
      </c>
      <c r="L140" s="42">
        <v>39</v>
      </c>
    </row>
    <row r="141" spans="11:12" ht="15.75" customHeight="1" x14ac:dyDescent="0.2">
      <c r="K141" s="41" t="s">
        <v>464</v>
      </c>
      <c r="L141" s="42">
        <v>21</v>
      </c>
    </row>
    <row r="142" spans="11:12" ht="15.75" customHeight="1" x14ac:dyDescent="0.2">
      <c r="K142" s="41" t="s">
        <v>241</v>
      </c>
      <c r="L142" s="42">
        <v>564</v>
      </c>
    </row>
    <row r="143" spans="11:12" ht="15.75" customHeight="1" x14ac:dyDescent="0.2">
      <c r="K143" s="41" t="s">
        <v>239</v>
      </c>
      <c r="L143" s="42">
        <v>1</v>
      </c>
    </row>
    <row r="144" spans="11:12" ht="15.75" customHeight="1" x14ac:dyDescent="0.2">
      <c r="K144" s="41" t="s">
        <v>244</v>
      </c>
      <c r="L144" s="42">
        <v>162</v>
      </c>
    </row>
    <row r="145" spans="11:12" ht="15.75" customHeight="1" x14ac:dyDescent="0.2">
      <c r="K145" s="41" t="s">
        <v>240</v>
      </c>
      <c r="L145" s="42">
        <v>358</v>
      </c>
    </row>
    <row r="146" spans="11:12" ht="15.75" customHeight="1" x14ac:dyDescent="0.2">
      <c r="K146" s="41" t="s">
        <v>249</v>
      </c>
      <c r="L146" s="42">
        <v>365</v>
      </c>
    </row>
    <row r="147" spans="11:12" ht="15.75" customHeight="1" x14ac:dyDescent="0.2">
      <c r="K147" s="41" t="s">
        <v>462</v>
      </c>
      <c r="L147" s="42">
        <v>201</v>
      </c>
    </row>
    <row r="148" spans="11:12" ht="15.75" customHeight="1" x14ac:dyDescent="0.2">
      <c r="K148" s="41" t="s">
        <v>51</v>
      </c>
      <c r="L148" s="42">
        <v>222</v>
      </c>
    </row>
    <row r="149" spans="11:12" ht="15.75" customHeight="1" x14ac:dyDescent="0.2">
      <c r="K149" s="41" t="s">
        <v>49</v>
      </c>
      <c r="L149" s="42">
        <v>0</v>
      </c>
    </row>
    <row r="150" spans="11:12" ht="15.75" customHeight="1" x14ac:dyDescent="0.2">
      <c r="K150" s="41" t="s">
        <v>282</v>
      </c>
      <c r="L150" s="42">
        <v>745</v>
      </c>
    </row>
    <row r="151" spans="11:12" ht="15.75" customHeight="1" x14ac:dyDescent="0.2">
      <c r="K151" s="41" t="s">
        <v>283</v>
      </c>
      <c r="L151" s="42">
        <v>579</v>
      </c>
    </row>
    <row r="152" spans="11:12" ht="15.75" customHeight="1" x14ac:dyDescent="0.2">
      <c r="K152" s="41" t="s">
        <v>284</v>
      </c>
      <c r="L152" s="42">
        <v>507</v>
      </c>
    </row>
    <row r="153" spans="11:12" ht="15.75" customHeight="1" x14ac:dyDescent="0.2">
      <c r="K153" s="41" t="s">
        <v>285</v>
      </c>
      <c r="L153" s="42">
        <v>630</v>
      </c>
    </row>
    <row r="154" spans="11:12" ht="15.75" customHeight="1" x14ac:dyDescent="0.2">
      <c r="K154" s="41" t="s">
        <v>286</v>
      </c>
      <c r="L154" s="42">
        <v>723</v>
      </c>
    </row>
    <row r="155" spans="11:12" ht="15.75" customHeight="1" x14ac:dyDescent="0.2">
      <c r="K155" s="41" t="s">
        <v>289</v>
      </c>
      <c r="L155" s="42">
        <v>354</v>
      </c>
    </row>
    <row r="156" spans="11:12" ht="15.75" customHeight="1" x14ac:dyDescent="0.2">
      <c r="K156" s="41" t="s">
        <v>290</v>
      </c>
      <c r="L156" s="42">
        <v>212</v>
      </c>
    </row>
    <row r="157" spans="11:12" ht="15.75" customHeight="1" x14ac:dyDescent="0.2">
      <c r="K157" s="41" t="s">
        <v>291</v>
      </c>
      <c r="L157" s="42">
        <v>354</v>
      </c>
    </row>
    <row r="158" spans="11:12" ht="15.75" customHeight="1" x14ac:dyDescent="0.2">
      <c r="K158" s="41" t="s">
        <v>292</v>
      </c>
      <c r="L158" s="42">
        <v>315</v>
      </c>
    </row>
    <row r="159" spans="11:12" ht="15.75" customHeight="1" x14ac:dyDescent="0.2">
      <c r="K159" s="41" t="s">
        <v>293</v>
      </c>
      <c r="L159" s="42">
        <v>354</v>
      </c>
    </row>
    <row r="160" spans="11:12" ht="15.75" customHeight="1" x14ac:dyDescent="0.2">
      <c r="K160" s="41" t="s">
        <v>303</v>
      </c>
      <c r="L160" s="42">
        <v>114</v>
      </c>
    </row>
    <row r="161" spans="11:12" ht="15.75" customHeight="1" x14ac:dyDescent="0.2">
      <c r="K161" s="41" t="s">
        <v>299</v>
      </c>
      <c r="L161" s="42">
        <v>230</v>
      </c>
    </row>
    <row r="162" spans="11:12" ht="15.75" customHeight="1" x14ac:dyDescent="0.2">
      <c r="K162" s="41" t="s">
        <v>300</v>
      </c>
      <c r="L162" s="42">
        <v>200</v>
      </c>
    </row>
    <row r="163" spans="11:12" ht="15.75" customHeight="1" x14ac:dyDescent="0.2">
      <c r="K163" s="41" t="s">
        <v>301</v>
      </c>
      <c r="L163" s="42">
        <v>141</v>
      </c>
    </row>
    <row r="164" spans="11:12" ht="15.75" customHeight="1" x14ac:dyDescent="0.2">
      <c r="K164" s="41" t="s">
        <v>255</v>
      </c>
      <c r="L164" s="42">
        <v>320</v>
      </c>
    </row>
    <row r="165" spans="11:12" ht="15.75" customHeight="1" x14ac:dyDescent="0.2">
      <c r="K165" s="41" t="s">
        <v>272</v>
      </c>
      <c r="L165" s="42">
        <v>199</v>
      </c>
    </row>
    <row r="166" spans="11:12" ht="15.75" customHeight="1" x14ac:dyDescent="0.2">
      <c r="K166" s="41" t="s">
        <v>257</v>
      </c>
      <c r="L166" s="42">
        <v>210</v>
      </c>
    </row>
    <row r="167" spans="11:12" ht="15.75" customHeight="1" x14ac:dyDescent="0.2">
      <c r="K167" s="41" t="s">
        <v>260</v>
      </c>
      <c r="L167" s="42">
        <v>79</v>
      </c>
    </row>
    <row r="168" spans="11:12" ht="15.75" customHeight="1" x14ac:dyDescent="0.2">
      <c r="K168" s="41" t="s">
        <v>262</v>
      </c>
      <c r="L168" s="42">
        <v>258</v>
      </c>
    </row>
    <row r="169" spans="11:12" ht="15.75" customHeight="1" x14ac:dyDescent="0.2">
      <c r="K169" s="41" t="s">
        <v>264</v>
      </c>
      <c r="L169" s="42">
        <v>235</v>
      </c>
    </row>
    <row r="170" spans="11:12" ht="15.75" customHeight="1" x14ac:dyDescent="0.2">
      <c r="K170" s="41" t="s">
        <v>267</v>
      </c>
      <c r="L170" s="42">
        <v>109</v>
      </c>
    </row>
    <row r="171" spans="11:12" ht="15.75" customHeight="1" x14ac:dyDescent="0.2">
      <c r="K171" s="41" t="s">
        <v>270</v>
      </c>
      <c r="L171" s="42">
        <v>178</v>
      </c>
    </row>
    <row r="172" spans="11:12" ht="15.75" customHeight="1" x14ac:dyDescent="0.2">
      <c r="K172" s="41" t="s">
        <v>86</v>
      </c>
      <c r="L172" s="42">
        <v>584</v>
      </c>
    </row>
    <row r="173" spans="11:12" ht="15.75" customHeight="1" x14ac:dyDescent="0.2">
      <c r="K173" s="41" t="s">
        <v>90</v>
      </c>
      <c r="L173" s="42">
        <v>176</v>
      </c>
    </row>
    <row r="174" spans="11:12" ht="15.75" customHeight="1" x14ac:dyDescent="0.2">
      <c r="K174" s="41" t="s">
        <v>92</v>
      </c>
      <c r="L174" s="42">
        <v>482</v>
      </c>
    </row>
    <row r="175" spans="11:12" ht="15.75" customHeight="1" x14ac:dyDescent="0.2">
      <c r="K175" s="41" t="s">
        <v>95</v>
      </c>
      <c r="L175" s="42">
        <v>367</v>
      </c>
    </row>
    <row r="176" spans="11:12" ht="15.75" customHeight="1" x14ac:dyDescent="0.2">
      <c r="K176" s="41" t="s">
        <v>96</v>
      </c>
      <c r="L176" s="42">
        <v>333</v>
      </c>
    </row>
    <row r="177" spans="11:12" ht="15.75" customHeight="1" x14ac:dyDescent="0.2">
      <c r="K177" s="41" t="s">
        <v>102</v>
      </c>
      <c r="L177" s="42">
        <v>252</v>
      </c>
    </row>
    <row r="178" spans="11:12" ht="15.75" customHeight="1" x14ac:dyDescent="0.2">
      <c r="K178" s="41" t="s">
        <v>643</v>
      </c>
      <c r="L178" s="42">
        <v>370</v>
      </c>
    </row>
    <row r="179" spans="11:12" ht="15.75" customHeight="1" x14ac:dyDescent="0.2">
      <c r="K179" s="41" t="s">
        <v>642</v>
      </c>
      <c r="L179" s="42">
        <v>230</v>
      </c>
    </row>
    <row r="180" spans="11:12" ht="15.75" customHeight="1" x14ac:dyDescent="0.2">
      <c r="K180" s="41" t="s">
        <v>636</v>
      </c>
      <c r="L180" s="42">
        <v>811</v>
      </c>
    </row>
    <row r="181" spans="11:12" ht="15.75" customHeight="1" x14ac:dyDescent="0.2">
      <c r="K181" s="41" t="s">
        <v>647</v>
      </c>
      <c r="L181" s="42">
        <v>267</v>
      </c>
    </row>
    <row r="182" spans="11:12" ht="15.75" customHeight="1" x14ac:dyDescent="0.2">
      <c r="K182" s="41" t="s">
        <v>648</v>
      </c>
      <c r="L182" s="42">
        <v>162</v>
      </c>
    </row>
    <row r="183" spans="11:12" ht="15.75" customHeight="1" x14ac:dyDescent="0.2">
      <c r="K183" s="41" t="s">
        <v>649</v>
      </c>
      <c r="L183" s="42">
        <v>172</v>
      </c>
    </row>
    <row r="184" spans="11:12" ht="15.75" customHeight="1" x14ac:dyDescent="0.2">
      <c r="K184" s="41" t="s">
        <v>650</v>
      </c>
      <c r="L184" s="42">
        <v>210</v>
      </c>
    </row>
    <row r="185" spans="11:12" ht="15.75" customHeight="1" x14ac:dyDescent="0.2">
      <c r="K185" s="41" t="s">
        <v>652</v>
      </c>
      <c r="L185" s="42">
        <v>29</v>
      </c>
    </row>
    <row r="186" spans="11:12" ht="15.75" customHeight="1" x14ac:dyDescent="0.2">
      <c r="K186" s="41" t="s">
        <v>653</v>
      </c>
      <c r="L186" s="42">
        <v>172</v>
      </c>
    </row>
    <row r="187" spans="11:12" ht="15.75" customHeight="1" x14ac:dyDescent="0.2">
      <c r="K187" s="41" t="s">
        <v>638</v>
      </c>
      <c r="L187" s="42">
        <v>365</v>
      </c>
    </row>
    <row r="188" spans="11:12" ht="15.75" customHeight="1" x14ac:dyDescent="0.2">
      <c r="K188" s="41" t="s">
        <v>632</v>
      </c>
      <c r="L188" s="42">
        <v>365</v>
      </c>
    </row>
    <row r="189" spans="11:12" ht="15.75" customHeight="1" x14ac:dyDescent="0.2">
      <c r="K189" s="41" t="s">
        <v>623</v>
      </c>
      <c r="L189" s="42">
        <v>360</v>
      </c>
    </row>
    <row r="190" spans="11:12" ht="15.75" customHeight="1" x14ac:dyDescent="0.2">
      <c r="K190" s="41" t="s">
        <v>624</v>
      </c>
      <c r="L190" s="42">
        <v>319</v>
      </c>
    </row>
    <row r="191" spans="11:12" ht="15.75" customHeight="1" x14ac:dyDescent="0.2">
      <c r="K191" s="41" t="s">
        <v>626</v>
      </c>
      <c r="L191" s="42">
        <v>527</v>
      </c>
    </row>
    <row r="192" spans="11:12" ht="15.75" customHeight="1" x14ac:dyDescent="0.2">
      <c r="K192" s="41" t="s">
        <v>625</v>
      </c>
      <c r="L192" s="42">
        <v>591</v>
      </c>
    </row>
    <row r="193" spans="11:12" ht="15.75" customHeight="1" x14ac:dyDescent="0.2">
      <c r="K193" s="41" t="s">
        <v>629</v>
      </c>
      <c r="L193" s="42">
        <v>205</v>
      </c>
    </row>
    <row r="194" spans="11:12" ht="15.75" customHeight="1" x14ac:dyDescent="0.2">
      <c r="K194" s="41" t="s">
        <v>630</v>
      </c>
      <c r="L194" s="42">
        <v>188</v>
      </c>
    </row>
    <row r="195" spans="11:12" ht="15.75" customHeight="1" x14ac:dyDescent="0.2">
      <c r="K195" s="41" t="s">
        <v>628</v>
      </c>
      <c r="L195" s="42">
        <v>178</v>
      </c>
    </row>
    <row r="196" spans="11:12" ht="15.75" customHeight="1" x14ac:dyDescent="0.2">
      <c r="K196" s="41" t="s">
        <v>654</v>
      </c>
      <c r="L196" s="42">
        <v>49</v>
      </c>
    </row>
    <row r="197" spans="11:12" ht="15.75" customHeight="1" x14ac:dyDescent="0.2">
      <c r="K197" s="41" t="s">
        <v>634</v>
      </c>
      <c r="L197" s="42">
        <v>980</v>
      </c>
    </row>
    <row r="198" spans="11:12" ht="15.75" customHeight="1" x14ac:dyDescent="0.2">
      <c r="K198" s="41" t="s">
        <v>635</v>
      </c>
      <c r="L198" s="42">
        <v>839</v>
      </c>
    </row>
    <row r="199" spans="11:12" ht="15.75" customHeight="1" x14ac:dyDescent="0.2">
      <c r="K199" s="41" t="s">
        <v>633</v>
      </c>
      <c r="L199" s="42">
        <v>901</v>
      </c>
    </row>
    <row r="200" spans="11:12" ht="15.75" customHeight="1" x14ac:dyDescent="0.2">
      <c r="K200" s="41" t="s">
        <v>637</v>
      </c>
      <c r="L200" s="42">
        <v>663</v>
      </c>
    </row>
    <row r="201" spans="11:12" ht="15.75" customHeight="1" x14ac:dyDescent="0.2">
      <c r="K201" s="41" t="s">
        <v>460</v>
      </c>
      <c r="L201" s="42">
        <v>21</v>
      </c>
    </row>
    <row r="202" spans="11:12" ht="15.75" customHeight="1" x14ac:dyDescent="0.2">
      <c r="K202" s="41" t="s">
        <v>459</v>
      </c>
      <c r="L202" s="42">
        <v>36</v>
      </c>
    </row>
    <row r="203" spans="11:12" ht="15.75" customHeight="1" x14ac:dyDescent="0.2">
      <c r="K203" s="41" t="s">
        <v>457</v>
      </c>
      <c r="L203" s="42">
        <v>164</v>
      </c>
    </row>
    <row r="204" spans="11:12" ht="15.75" customHeight="1" x14ac:dyDescent="0.2">
      <c r="K204" s="41" t="s">
        <v>455</v>
      </c>
      <c r="L204" s="42">
        <v>133</v>
      </c>
    </row>
    <row r="205" spans="11:12" ht="15.75" customHeight="1" x14ac:dyDescent="0.2">
      <c r="K205" s="41" t="s">
        <v>454</v>
      </c>
      <c r="L205" s="42">
        <v>31</v>
      </c>
    </row>
    <row r="206" spans="11:12" ht="15.75" customHeight="1" x14ac:dyDescent="0.2">
      <c r="K206" s="41" t="s">
        <v>451</v>
      </c>
      <c r="L206" s="42">
        <v>110</v>
      </c>
    </row>
    <row r="207" spans="11:12" ht="15.75" customHeight="1" x14ac:dyDescent="0.2">
      <c r="K207" s="41" t="s">
        <v>450</v>
      </c>
      <c r="L207" s="42">
        <v>25</v>
      </c>
    </row>
    <row r="208" spans="11:12" ht="15.75" customHeight="1" x14ac:dyDescent="0.2">
      <c r="K208" s="41" t="s">
        <v>691</v>
      </c>
      <c r="L208" s="42">
        <v>520</v>
      </c>
    </row>
    <row r="209" spans="11:12" ht="15.75" customHeight="1" x14ac:dyDescent="0.2">
      <c r="K209" s="41" t="s">
        <v>692</v>
      </c>
      <c r="L209" s="42">
        <v>238</v>
      </c>
    </row>
    <row r="210" spans="11:12" ht="15.75" customHeight="1" x14ac:dyDescent="0.2">
      <c r="K210" s="41" t="s">
        <v>693</v>
      </c>
      <c r="L210" s="42">
        <v>296</v>
      </c>
    </row>
    <row r="211" spans="11:12" ht="15.75" customHeight="1" x14ac:dyDescent="0.2">
      <c r="K211" s="41" t="s">
        <v>695</v>
      </c>
      <c r="L211" s="42">
        <v>185</v>
      </c>
    </row>
    <row r="212" spans="11:12" ht="15.75" customHeight="1" x14ac:dyDescent="0.2">
      <c r="K212" s="41" t="s">
        <v>446</v>
      </c>
      <c r="L212" s="42">
        <v>1706</v>
      </c>
    </row>
    <row r="213" spans="11:12" ht="15.75" customHeight="1" x14ac:dyDescent="0.2">
      <c r="K213" s="41" t="s">
        <v>440</v>
      </c>
      <c r="L213" s="42">
        <v>1481</v>
      </c>
    </row>
    <row r="214" spans="11:12" ht="15.75" customHeight="1" x14ac:dyDescent="0.2">
      <c r="K214" s="41" t="s">
        <v>437</v>
      </c>
      <c r="L214" s="42">
        <v>41</v>
      </c>
    </row>
    <row r="215" spans="11:12" ht="15.75" customHeight="1" x14ac:dyDescent="0.2">
      <c r="K215" s="41" t="s">
        <v>436</v>
      </c>
      <c r="L215" s="42">
        <v>41</v>
      </c>
    </row>
    <row r="216" spans="11:12" ht="15.75" customHeight="1" x14ac:dyDescent="0.2">
      <c r="K216" s="41" t="s">
        <v>435</v>
      </c>
      <c r="L216" s="42">
        <v>41</v>
      </c>
    </row>
    <row r="217" spans="11:12" ht="15.75" customHeight="1" x14ac:dyDescent="0.2">
      <c r="K217" s="41" t="s">
        <v>434</v>
      </c>
      <c r="L217" s="42">
        <v>41</v>
      </c>
    </row>
    <row r="218" spans="11:12" ht="15.75" customHeight="1" x14ac:dyDescent="0.2">
      <c r="K218" s="41" t="s">
        <v>433</v>
      </c>
      <c r="L218" s="42">
        <v>41</v>
      </c>
    </row>
    <row r="219" spans="11:12" ht="15.75" customHeight="1" x14ac:dyDescent="0.2">
      <c r="K219" s="43" t="s">
        <v>701</v>
      </c>
      <c r="L219" s="44">
        <v>63795</v>
      </c>
    </row>
    <row r="220" spans="11:12" ht="15.75" customHeight="1" x14ac:dyDescent="0.2">
      <c r="K220" s="8"/>
      <c r="L220" s="7"/>
    </row>
    <row r="221" spans="11:12" ht="15.75" customHeight="1" x14ac:dyDescent="0.2">
      <c r="K221" s="8"/>
      <c r="L221" s="7"/>
    </row>
    <row r="222" spans="11:12" ht="15.75" customHeight="1" x14ac:dyDescent="0.2">
      <c r="K222" s="8"/>
      <c r="L222" s="7"/>
    </row>
    <row r="223" spans="11:12" ht="15.75" customHeight="1" x14ac:dyDescent="0.2">
      <c r="K223" s="8"/>
      <c r="L223" s="7"/>
    </row>
    <row r="224" spans="11:12" ht="15.75" customHeight="1" x14ac:dyDescent="0.2">
      <c r="K224" s="8"/>
      <c r="L224" s="7"/>
    </row>
    <row r="225" spans="11:12" ht="15.75" customHeight="1" x14ac:dyDescent="0.2">
      <c r="K225" s="8"/>
      <c r="L225" s="7"/>
    </row>
    <row r="226" spans="11:12" ht="15.75" customHeight="1" x14ac:dyDescent="0.2">
      <c r="K226" s="8"/>
      <c r="L226" s="7"/>
    </row>
    <row r="227" spans="11:12" ht="15.75" customHeight="1" x14ac:dyDescent="0.2"/>
    <row r="228" spans="11:12" ht="15.75" customHeight="1" x14ac:dyDescent="0.2"/>
    <row r="229" spans="11:12" ht="15.75" customHeight="1" x14ac:dyDescent="0.2"/>
    <row r="230" spans="11:12" ht="15.75" customHeight="1" x14ac:dyDescent="0.2"/>
    <row r="231" spans="11:12" ht="15.75" customHeight="1" x14ac:dyDescent="0.2"/>
    <row r="232" spans="11:12" ht="15.75" customHeight="1" x14ac:dyDescent="0.2"/>
    <row r="233" spans="11:12" ht="15.75" customHeight="1" x14ac:dyDescent="0.2"/>
    <row r="234" spans="11:12" ht="15.75" customHeight="1" x14ac:dyDescent="0.2"/>
    <row r="235" spans="11:12" ht="15.75" customHeight="1" x14ac:dyDescent="0.2"/>
    <row r="236" spans="11:12" ht="15.75" customHeight="1" x14ac:dyDescent="0.2"/>
    <row r="237" spans="11:12" ht="15.75" customHeight="1" x14ac:dyDescent="0.2"/>
    <row r="238" spans="11:12" ht="15.75" customHeight="1" x14ac:dyDescent="0.2"/>
    <row r="239" spans="11:12" ht="15.75" customHeight="1" x14ac:dyDescent="0.2"/>
    <row r="240" spans="11:12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pageMargins left="0.7" right="0.7" top="0.75" bottom="0.75" header="0" footer="0"/>
  <pageSetup orientation="portrait"/>
  <drawing r:id="rId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Z1000"/>
  <sheetViews>
    <sheetView workbookViewId="0">
      <pane ySplit="1" topLeftCell="A2" activePane="bottomLeft" state="frozen"/>
      <selection pane="bottomLeft" activeCell="B3" sqref="B3"/>
    </sheetView>
  </sheetViews>
  <sheetFormatPr baseColWidth="10" defaultColWidth="14.5" defaultRowHeight="15" customHeight="1" x14ac:dyDescent="0.2"/>
  <cols>
    <col min="1" max="1" width="15.5" customWidth="1"/>
    <col min="2" max="5" width="8.6640625" customWidth="1"/>
    <col min="6" max="6" width="21.1640625" customWidth="1"/>
    <col min="7" max="10" width="8.6640625" customWidth="1"/>
    <col min="11" max="11" width="17.83203125" customWidth="1"/>
    <col min="12" max="13" width="8.6640625" customWidth="1"/>
    <col min="14" max="14" width="12.83203125" customWidth="1"/>
  </cols>
  <sheetData>
    <row r="1" spans="1:26" ht="15" customHeight="1" x14ac:dyDescent="0.2">
      <c r="A1" s="1" t="s">
        <v>702</v>
      </c>
      <c r="B1" s="1"/>
      <c r="C1" s="1"/>
      <c r="D1" s="1"/>
      <c r="E1" s="1"/>
      <c r="F1" s="1" t="s">
        <v>703</v>
      </c>
      <c r="G1" s="1"/>
      <c r="H1" s="1"/>
      <c r="I1" s="1"/>
      <c r="J1" s="1"/>
      <c r="K1" s="1" t="s">
        <v>704</v>
      </c>
      <c r="L1" s="1"/>
      <c r="M1" s="1"/>
      <c r="N1" s="36" t="s">
        <v>705</v>
      </c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5" customHeight="1" x14ac:dyDescent="0.2">
      <c r="A2" s="8" t="s">
        <v>17</v>
      </c>
      <c r="F2" s="8" t="s">
        <v>156</v>
      </c>
      <c r="K2" s="7" t="s">
        <v>83</v>
      </c>
      <c r="N2" s="7">
        <v>1</v>
      </c>
    </row>
    <row r="3" spans="1:26" x14ac:dyDescent="0.2">
      <c r="A3" s="8" t="s">
        <v>84</v>
      </c>
      <c r="F3" s="8" t="s">
        <v>254</v>
      </c>
      <c r="K3" s="7" t="s">
        <v>104</v>
      </c>
      <c r="N3" s="7">
        <v>10</v>
      </c>
    </row>
    <row r="4" spans="1:26" x14ac:dyDescent="0.2">
      <c r="A4" s="8" t="s">
        <v>65</v>
      </c>
      <c r="F4" s="8" t="s">
        <v>56</v>
      </c>
      <c r="K4" s="19" t="s">
        <v>135</v>
      </c>
      <c r="N4" s="7">
        <v>11</v>
      </c>
    </row>
    <row r="5" spans="1:26" x14ac:dyDescent="0.2">
      <c r="A5" s="8" t="s">
        <v>231</v>
      </c>
      <c r="F5" s="8" t="s">
        <v>266</v>
      </c>
      <c r="K5" s="19" t="s">
        <v>438</v>
      </c>
      <c r="N5" s="7">
        <v>16</v>
      </c>
    </row>
    <row r="6" spans="1:26" x14ac:dyDescent="0.2">
      <c r="A6" s="8" t="s">
        <v>136</v>
      </c>
      <c r="F6" s="8" t="s">
        <v>524</v>
      </c>
      <c r="K6" s="19" t="s">
        <v>61</v>
      </c>
      <c r="N6" s="7">
        <v>18</v>
      </c>
    </row>
    <row r="7" spans="1:26" x14ac:dyDescent="0.2">
      <c r="A7" s="8" t="s">
        <v>706</v>
      </c>
      <c r="F7" s="8" t="s">
        <v>269</v>
      </c>
      <c r="K7" s="19" t="s">
        <v>16</v>
      </c>
      <c r="N7" s="7">
        <v>19</v>
      </c>
    </row>
    <row r="8" spans="1:26" x14ac:dyDescent="0.2">
      <c r="A8" s="8" t="s">
        <v>196</v>
      </c>
      <c r="F8" s="8" t="s">
        <v>513</v>
      </c>
      <c r="K8" s="19" t="s">
        <v>36</v>
      </c>
      <c r="N8" s="7">
        <v>2</v>
      </c>
    </row>
    <row r="9" spans="1:26" x14ac:dyDescent="0.2">
      <c r="A9" s="8" t="s">
        <v>280</v>
      </c>
      <c r="F9" s="8" t="s">
        <v>66</v>
      </c>
      <c r="K9" s="7" t="s">
        <v>58</v>
      </c>
      <c r="N9" s="7">
        <v>3</v>
      </c>
    </row>
    <row r="10" spans="1:26" x14ac:dyDescent="0.2">
      <c r="A10" s="8" t="s">
        <v>322</v>
      </c>
      <c r="F10" s="8" t="s">
        <v>231</v>
      </c>
      <c r="K10" s="19" t="s">
        <v>165</v>
      </c>
      <c r="N10" s="7">
        <v>4</v>
      </c>
    </row>
    <row r="11" spans="1:26" x14ac:dyDescent="0.2">
      <c r="A11" s="8" t="s">
        <v>707</v>
      </c>
      <c r="F11" s="8" t="s">
        <v>507</v>
      </c>
      <c r="K11" s="19" t="s">
        <v>128</v>
      </c>
      <c r="N11" s="7">
        <v>5</v>
      </c>
    </row>
    <row r="12" spans="1:26" x14ac:dyDescent="0.2">
      <c r="A12" s="8" t="s">
        <v>253</v>
      </c>
      <c r="F12" s="8" t="s">
        <v>53</v>
      </c>
      <c r="K12" s="7" t="s">
        <v>287</v>
      </c>
      <c r="N12" s="7">
        <v>6</v>
      </c>
    </row>
    <row r="13" spans="1:26" x14ac:dyDescent="0.2">
      <c r="A13" s="8" t="s">
        <v>298</v>
      </c>
      <c r="F13" s="8" t="s">
        <v>500</v>
      </c>
      <c r="K13" s="7" t="s">
        <v>216</v>
      </c>
      <c r="N13" s="7">
        <v>7</v>
      </c>
    </row>
    <row r="14" spans="1:26" x14ac:dyDescent="0.2">
      <c r="A14" s="8" t="s">
        <v>431</v>
      </c>
      <c r="F14" s="8" t="s">
        <v>491</v>
      </c>
      <c r="K14" s="7" t="s">
        <v>227</v>
      </c>
      <c r="N14" s="7">
        <v>8</v>
      </c>
    </row>
    <row r="15" spans="1:26" x14ac:dyDescent="0.2">
      <c r="A15" s="8" t="s">
        <v>621</v>
      </c>
      <c r="F15" s="8" t="s">
        <v>644</v>
      </c>
      <c r="K15" s="7" t="s">
        <v>295</v>
      </c>
      <c r="N15" s="7" t="s">
        <v>708</v>
      </c>
    </row>
    <row r="16" spans="1:26" x14ac:dyDescent="0.2">
      <c r="A16" s="8" t="s">
        <v>690</v>
      </c>
      <c r="F16" s="8" t="s">
        <v>646</v>
      </c>
      <c r="K16" s="7" t="s">
        <v>302</v>
      </c>
      <c r="N16" s="7">
        <v>9</v>
      </c>
    </row>
    <row r="17" spans="6:14" x14ac:dyDescent="0.2">
      <c r="F17" s="8" t="s">
        <v>641</v>
      </c>
      <c r="K17" s="7" t="s">
        <v>320</v>
      </c>
      <c r="N17" s="7" t="s">
        <v>63</v>
      </c>
    </row>
    <row r="18" spans="6:14" x14ac:dyDescent="0.2">
      <c r="F18" s="8" t="s">
        <v>187</v>
      </c>
      <c r="K18" s="7" t="s">
        <v>709</v>
      </c>
      <c r="N18" s="7" t="s">
        <v>710</v>
      </c>
    </row>
    <row r="19" spans="6:14" x14ac:dyDescent="0.2">
      <c r="F19" s="8" t="s">
        <v>137</v>
      </c>
      <c r="K19" s="7" t="s">
        <v>346</v>
      </c>
      <c r="N19" s="7" t="s">
        <v>35</v>
      </c>
    </row>
    <row r="20" spans="6:14" x14ac:dyDescent="0.2">
      <c r="F20" s="8" t="s">
        <v>48</v>
      </c>
      <c r="K20" s="7" t="s">
        <v>385</v>
      </c>
      <c r="N20" s="7" t="s">
        <v>711</v>
      </c>
    </row>
    <row r="21" spans="6:14" ht="15.75" customHeight="1" x14ac:dyDescent="0.2">
      <c r="F21" s="8" t="s">
        <v>622</v>
      </c>
      <c r="K21" s="7" t="s">
        <v>411</v>
      </c>
      <c r="N21" s="7" t="s">
        <v>60</v>
      </c>
    </row>
    <row r="22" spans="6:14" ht="15.75" customHeight="1" x14ac:dyDescent="0.2">
      <c r="F22" s="8" t="s">
        <v>246</v>
      </c>
      <c r="K22" s="19" t="s">
        <v>452</v>
      </c>
      <c r="N22" s="7" t="s">
        <v>22</v>
      </c>
    </row>
    <row r="23" spans="6:14" ht="15.75" customHeight="1" x14ac:dyDescent="0.2">
      <c r="F23" s="8" t="s">
        <v>482</v>
      </c>
      <c r="K23" s="19" t="s">
        <v>441</v>
      </c>
      <c r="N23" s="7" t="s">
        <v>712</v>
      </c>
    </row>
    <row r="24" spans="6:14" ht="15.75" customHeight="1" x14ac:dyDescent="0.2">
      <c r="F24" s="8" t="s">
        <v>33</v>
      </c>
      <c r="K24" s="19" t="s">
        <v>40</v>
      </c>
      <c r="N24" s="7" t="s">
        <v>30</v>
      </c>
    </row>
    <row r="25" spans="6:14" ht="15.75" customHeight="1" x14ac:dyDescent="0.2">
      <c r="F25" s="8" t="s">
        <v>243</v>
      </c>
      <c r="K25" s="19" t="s">
        <v>42</v>
      </c>
      <c r="N25" s="7" t="s">
        <v>28</v>
      </c>
    </row>
    <row r="26" spans="6:14" ht="15.75" customHeight="1" x14ac:dyDescent="0.2">
      <c r="F26" s="8" t="s">
        <v>196</v>
      </c>
      <c r="K26" s="19" t="s">
        <v>47</v>
      </c>
      <c r="N26" s="7" t="s">
        <v>138</v>
      </c>
    </row>
    <row r="27" spans="6:14" ht="15.75" customHeight="1" x14ac:dyDescent="0.2">
      <c r="F27" s="8" t="s">
        <v>259</v>
      </c>
      <c r="K27" s="19" t="s">
        <v>130</v>
      </c>
      <c r="N27" s="7" t="s">
        <v>181</v>
      </c>
    </row>
    <row r="28" spans="6:14" ht="15.75" customHeight="1" x14ac:dyDescent="0.2">
      <c r="F28" s="8" t="s">
        <v>323</v>
      </c>
      <c r="K28" s="19" t="s">
        <v>131</v>
      </c>
      <c r="N28" s="7" t="s">
        <v>147</v>
      </c>
    </row>
    <row r="29" spans="6:14" ht="15.75" customHeight="1" x14ac:dyDescent="0.2">
      <c r="F29" s="8" t="s">
        <v>463</v>
      </c>
      <c r="K29" s="19" t="s">
        <v>132</v>
      </c>
      <c r="N29" s="7" t="s">
        <v>148</v>
      </c>
    </row>
    <row r="30" spans="6:14" ht="15.75" customHeight="1" x14ac:dyDescent="0.2">
      <c r="F30" s="8" t="s">
        <v>238</v>
      </c>
      <c r="K30" s="19" t="s">
        <v>230</v>
      </c>
      <c r="N30" s="7" t="s">
        <v>150</v>
      </c>
    </row>
    <row r="31" spans="6:14" ht="15.75" customHeight="1" x14ac:dyDescent="0.2">
      <c r="F31" s="8" t="s">
        <v>468</v>
      </c>
      <c r="K31" s="7" t="s">
        <v>453</v>
      </c>
      <c r="N31" s="7" t="s">
        <v>152</v>
      </c>
    </row>
    <row r="32" spans="6:14" ht="15.75" customHeight="1" x14ac:dyDescent="0.2">
      <c r="F32" s="8" t="s">
        <v>363</v>
      </c>
      <c r="K32" s="7" t="s">
        <v>443</v>
      </c>
      <c r="N32" s="7" t="s">
        <v>153</v>
      </c>
    </row>
    <row r="33" spans="6:14" ht="15.75" customHeight="1" x14ac:dyDescent="0.2">
      <c r="F33" s="8" t="s">
        <v>352</v>
      </c>
      <c r="K33" s="19" t="s">
        <v>52</v>
      </c>
      <c r="N33" s="7" t="s">
        <v>157</v>
      </c>
    </row>
    <row r="34" spans="6:14" ht="15.75" customHeight="1" x14ac:dyDescent="0.2">
      <c r="F34" s="8" t="s">
        <v>18</v>
      </c>
      <c r="K34" s="7" t="s">
        <v>193</v>
      </c>
      <c r="N34" s="7" t="s">
        <v>713</v>
      </c>
    </row>
    <row r="35" spans="6:14" ht="15.75" customHeight="1" x14ac:dyDescent="0.2">
      <c r="F35" s="8" t="s">
        <v>31</v>
      </c>
      <c r="K35" s="7" t="s">
        <v>182</v>
      </c>
      <c r="N35" s="7" t="s">
        <v>178</v>
      </c>
    </row>
    <row r="36" spans="6:14" ht="15.75" customHeight="1" x14ac:dyDescent="0.2">
      <c r="F36" s="8" t="s">
        <v>24</v>
      </c>
      <c r="K36" s="7" t="s">
        <v>133</v>
      </c>
      <c r="N36" s="7" t="s">
        <v>140</v>
      </c>
    </row>
    <row r="37" spans="6:14" ht="15.75" customHeight="1" x14ac:dyDescent="0.2">
      <c r="F37" s="8" t="s">
        <v>142</v>
      </c>
      <c r="K37" s="7" t="s">
        <v>134</v>
      </c>
      <c r="N37" s="7" t="s">
        <v>143</v>
      </c>
    </row>
    <row r="38" spans="6:14" ht="15.75" customHeight="1" x14ac:dyDescent="0.2">
      <c r="F38" s="8" t="s">
        <v>461</v>
      </c>
      <c r="K38" s="7" t="s">
        <v>186</v>
      </c>
      <c r="N38" s="7" t="s">
        <v>144</v>
      </c>
    </row>
    <row r="39" spans="6:14" ht="15.75" customHeight="1" x14ac:dyDescent="0.2">
      <c r="F39" s="8" t="s">
        <v>51</v>
      </c>
      <c r="K39" s="7" t="s">
        <v>297</v>
      </c>
      <c r="N39" s="7" t="s">
        <v>145</v>
      </c>
    </row>
    <row r="40" spans="6:14" ht="15.75" customHeight="1" x14ac:dyDescent="0.2">
      <c r="F40" s="8" t="s">
        <v>432</v>
      </c>
      <c r="K40" s="7" t="s">
        <v>444</v>
      </c>
      <c r="N40" s="7" t="s">
        <v>542</v>
      </c>
    </row>
    <row r="41" spans="6:14" ht="15.75" customHeight="1" x14ac:dyDescent="0.2">
      <c r="F41" s="8" t="s">
        <v>631</v>
      </c>
      <c r="K41" s="7" t="s">
        <v>64</v>
      </c>
      <c r="N41" s="7" t="s">
        <v>541</v>
      </c>
    </row>
    <row r="42" spans="6:14" ht="15.75" customHeight="1" x14ac:dyDescent="0.2">
      <c r="F42" s="8" t="s">
        <v>543</v>
      </c>
      <c r="K42" s="7" t="s">
        <v>194</v>
      </c>
      <c r="N42" s="7" t="s">
        <v>540</v>
      </c>
    </row>
    <row r="43" spans="6:14" ht="15.75" customHeight="1" x14ac:dyDescent="0.2">
      <c r="F43" s="8" t="s">
        <v>245</v>
      </c>
      <c r="K43" s="7" t="s">
        <v>192</v>
      </c>
      <c r="N43" s="7" t="s">
        <v>539</v>
      </c>
    </row>
    <row r="44" spans="6:14" ht="15.75" customHeight="1" x14ac:dyDescent="0.2">
      <c r="F44" s="8" t="s">
        <v>714</v>
      </c>
      <c r="K44" s="7" t="s">
        <v>195</v>
      </c>
      <c r="N44" s="7" t="s">
        <v>538</v>
      </c>
    </row>
    <row r="45" spans="6:14" ht="15.75" customHeight="1" x14ac:dyDescent="0.2">
      <c r="F45" s="8" t="s">
        <v>85</v>
      </c>
      <c r="K45" s="7" t="s">
        <v>229</v>
      </c>
      <c r="N45" s="7" t="s">
        <v>537</v>
      </c>
    </row>
    <row r="46" spans="6:14" ht="15.75" customHeight="1" x14ac:dyDescent="0.2">
      <c r="F46" s="8" t="s">
        <v>627</v>
      </c>
      <c r="K46" s="7" t="s">
        <v>334</v>
      </c>
      <c r="N46" s="7" t="s">
        <v>535</v>
      </c>
    </row>
    <row r="47" spans="6:14" ht="15.75" customHeight="1" x14ac:dyDescent="0.2">
      <c r="F47" s="8" t="s">
        <v>545</v>
      </c>
      <c r="K47" s="7" t="s">
        <v>651</v>
      </c>
      <c r="N47" s="7" t="s">
        <v>533</v>
      </c>
    </row>
    <row r="48" spans="6:14" ht="15.75" customHeight="1" x14ac:dyDescent="0.2">
      <c r="F48" s="8" t="s">
        <v>374</v>
      </c>
      <c r="N48" s="7" t="s">
        <v>531</v>
      </c>
    </row>
    <row r="49" spans="6:14" ht="15.75" customHeight="1" x14ac:dyDescent="0.2">
      <c r="F49" s="8" t="s">
        <v>341</v>
      </c>
      <c r="N49" s="7" t="s">
        <v>529</v>
      </c>
    </row>
    <row r="50" spans="6:14" ht="15.75" customHeight="1" x14ac:dyDescent="0.2">
      <c r="F50" s="8" t="s">
        <v>466</v>
      </c>
      <c r="N50" s="7" t="s">
        <v>527</v>
      </c>
    </row>
    <row r="51" spans="6:14" ht="15.75" customHeight="1" x14ac:dyDescent="0.2">
      <c r="F51" s="8" t="s">
        <v>608</v>
      </c>
      <c r="N51" s="7" t="s">
        <v>526</v>
      </c>
    </row>
    <row r="52" spans="6:14" ht="15.75" customHeight="1" x14ac:dyDescent="0.2">
      <c r="F52" s="8" t="s">
        <v>146</v>
      </c>
      <c r="N52" s="7" t="s">
        <v>525</v>
      </c>
    </row>
    <row r="53" spans="6:14" ht="15.75" customHeight="1" x14ac:dyDescent="0.2">
      <c r="F53" s="8" t="s">
        <v>149</v>
      </c>
      <c r="N53" s="7" t="s">
        <v>523</v>
      </c>
    </row>
    <row r="54" spans="6:14" ht="15.75" customHeight="1" x14ac:dyDescent="0.2">
      <c r="F54" s="8" t="s">
        <v>497</v>
      </c>
      <c r="N54" s="7" t="s">
        <v>522</v>
      </c>
    </row>
    <row r="55" spans="6:14" ht="15.75" customHeight="1" x14ac:dyDescent="0.2">
      <c r="F55" s="8" t="s">
        <v>328</v>
      </c>
      <c r="N55" s="7" t="s">
        <v>521</v>
      </c>
    </row>
    <row r="56" spans="6:14" ht="15.75" customHeight="1" x14ac:dyDescent="0.2">
      <c r="F56" s="8" t="s">
        <v>449</v>
      </c>
      <c r="N56" s="7" t="s">
        <v>519</v>
      </c>
    </row>
    <row r="57" spans="6:14" ht="15.75" customHeight="1" x14ac:dyDescent="0.2">
      <c r="F57" s="8" t="s">
        <v>37</v>
      </c>
      <c r="N57" s="7" t="s">
        <v>518</v>
      </c>
    </row>
    <row r="58" spans="6:14" ht="15.75" customHeight="1" x14ac:dyDescent="0.2">
      <c r="F58" s="8" t="s">
        <v>281</v>
      </c>
      <c r="N58" s="7" t="s">
        <v>514</v>
      </c>
    </row>
    <row r="59" spans="6:14" ht="15.75" customHeight="1" x14ac:dyDescent="0.2">
      <c r="F59" s="8" t="s">
        <v>163</v>
      </c>
      <c r="N59" s="7" t="s">
        <v>70</v>
      </c>
    </row>
    <row r="60" spans="6:14" ht="15.75" customHeight="1" x14ac:dyDescent="0.2">
      <c r="F60" s="8" t="s">
        <v>715</v>
      </c>
      <c r="N60" s="7" t="s">
        <v>72</v>
      </c>
    </row>
    <row r="61" spans="6:14" ht="15.75" customHeight="1" x14ac:dyDescent="0.2">
      <c r="F61" s="8" t="s">
        <v>439</v>
      </c>
      <c r="N61" s="7" t="s">
        <v>80</v>
      </c>
    </row>
    <row r="62" spans="6:14" ht="15.75" customHeight="1" x14ac:dyDescent="0.2">
      <c r="F62" s="8" t="s">
        <v>550</v>
      </c>
      <c r="N62" s="7" t="s">
        <v>74</v>
      </c>
    </row>
    <row r="63" spans="6:14" ht="15.75" customHeight="1" x14ac:dyDescent="0.2">
      <c r="F63" s="8" t="s">
        <v>516</v>
      </c>
      <c r="N63" s="7" t="s">
        <v>716</v>
      </c>
    </row>
    <row r="64" spans="6:14" ht="15.75" customHeight="1" x14ac:dyDescent="0.2">
      <c r="F64" s="8"/>
      <c r="N64" s="7" t="s">
        <v>717</v>
      </c>
    </row>
    <row r="65" spans="14:14" ht="15.75" customHeight="1" x14ac:dyDescent="0.2">
      <c r="N65" s="7" t="s">
        <v>718</v>
      </c>
    </row>
    <row r="66" spans="14:14" ht="15.75" customHeight="1" x14ac:dyDescent="0.2">
      <c r="N66" s="7" t="s">
        <v>719</v>
      </c>
    </row>
    <row r="67" spans="14:14" ht="15.75" customHeight="1" x14ac:dyDescent="0.2">
      <c r="N67" s="7" t="s">
        <v>720</v>
      </c>
    </row>
    <row r="68" spans="14:14" ht="15.75" customHeight="1" x14ac:dyDescent="0.2">
      <c r="N68" s="7" t="s">
        <v>721</v>
      </c>
    </row>
    <row r="69" spans="14:14" ht="15.75" customHeight="1" x14ac:dyDescent="0.2">
      <c r="N69" s="7" t="s">
        <v>722</v>
      </c>
    </row>
    <row r="70" spans="14:14" ht="15.75" customHeight="1" x14ac:dyDescent="0.2">
      <c r="N70" s="7" t="s">
        <v>723</v>
      </c>
    </row>
    <row r="71" spans="14:14" ht="15.75" customHeight="1" x14ac:dyDescent="0.2">
      <c r="N71" s="7" t="s">
        <v>176</v>
      </c>
    </row>
    <row r="72" spans="14:14" ht="15.75" customHeight="1" x14ac:dyDescent="0.2">
      <c r="N72" s="7" t="s">
        <v>217</v>
      </c>
    </row>
    <row r="73" spans="14:14" ht="15.75" customHeight="1" x14ac:dyDescent="0.2">
      <c r="N73" s="7" t="s">
        <v>226</v>
      </c>
    </row>
    <row r="74" spans="14:14" ht="15.75" customHeight="1" x14ac:dyDescent="0.2">
      <c r="N74" s="7" t="s">
        <v>724</v>
      </c>
    </row>
    <row r="75" spans="14:14" ht="15.75" customHeight="1" x14ac:dyDescent="0.2">
      <c r="N75" s="7" t="s">
        <v>219</v>
      </c>
    </row>
    <row r="76" spans="14:14" ht="15.75" customHeight="1" x14ac:dyDescent="0.2">
      <c r="N76" s="7" t="s">
        <v>220</v>
      </c>
    </row>
    <row r="77" spans="14:14" ht="15.75" customHeight="1" x14ac:dyDescent="0.2">
      <c r="N77" s="7" t="s">
        <v>221</v>
      </c>
    </row>
    <row r="78" spans="14:14" ht="15.75" customHeight="1" x14ac:dyDescent="0.2">
      <c r="N78" s="7" t="s">
        <v>222</v>
      </c>
    </row>
    <row r="79" spans="14:14" ht="15.75" customHeight="1" x14ac:dyDescent="0.2">
      <c r="N79" s="7" t="s">
        <v>223</v>
      </c>
    </row>
    <row r="80" spans="14:14" ht="15.75" customHeight="1" x14ac:dyDescent="0.2">
      <c r="N80" s="7" t="s">
        <v>224</v>
      </c>
    </row>
    <row r="81" spans="14:14" ht="15.75" customHeight="1" x14ac:dyDescent="0.2">
      <c r="N81" s="7" t="s">
        <v>225</v>
      </c>
    </row>
    <row r="82" spans="14:14" ht="15.75" customHeight="1" x14ac:dyDescent="0.2">
      <c r="N82" s="7" t="s">
        <v>505</v>
      </c>
    </row>
    <row r="83" spans="14:14" ht="15.75" customHeight="1" x14ac:dyDescent="0.2">
      <c r="N83" s="7" t="s">
        <v>504</v>
      </c>
    </row>
    <row r="84" spans="14:14" ht="15.75" customHeight="1" x14ac:dyDescent="0.2">
      <c r="N84" s="7" t="s">
        <v>503</v>
      </c>
    </row>
    <row r="85" spans="14:14" ht="15.75" customHeight="1" x14ac:dyDescent="0.2">
      <c r="N85" s="7" t="s">
        <v>501</v>
      </c>
    </row>
    <row r="86" spans="14:14" ht="15.75" customHeight="1" x14ac:dyDescent="0.2">
      <c r="N86" s="7" t="s">
        <v>498</v>
      </c>
    </row>
    <row r="87" spans="14:14" ht="15.75" customHeight="1" x14ac:dyDescent="0.2">
      <c r="N87" s="7" t="s">
        <v>496</v>
      </c>
    </row>
    <row r="88" spans="14:14" ht="15.75" customHeight="1" x14ac:dyDescent="0.2">
      <c r="N88" s="7" t="s">
        <v>495</v>
      </c>
    </row>
    <row r="89" spans="14:14" ht="15.75" customHeight="1" x14ac:dyDescent="0.2">
      <c r="N89" s="7" t="s">
        <v>494</v>
      </c>
    </row>
    <row r="90" spans="14:14" ht="15.75" customHeight="1" x14ac:dyDescent="0.2">
      <c r="N90" s="7" t="s">
        <v>493</v>
      </c>
    </row>
    <row r="91" spans="14:14" ht="15.75" customHeight="1" x14ac:dyDescent="0.2">
      <c r="N91" s="7" t="s">
        <v>492</v>
      </c>
    </row>
    <row r="92" spans="14:14" ht="15.75" customHeight="1" x14ac:dyDescent="0.2">
      <c r="N92" s="7" t="s">
        <v>188</v>
      </c>
    </row>
    <row r="93" spans="14:14" ht="15.75" customHeight="1" x14ac:dyDescent="0.2">
      <c r="N93" s="7" t="s">
        <v>191</v>
      </c>
    </row>
    <row r="94" spans="14:14" ht="15.75" customHeight="1" x14ac:dyDescent="0.2">
      <c r="N94" s="7" t="s">
        <v>490</v>
      </c>
    </row>
    <row r="95" spans="14:14" ht="15.75" customHeight="1" x14ac:dyDescent="0.2">
      <c r="N95" s="7" t="s">
        <v>489</v>
      </c>
    </row>
    <row r="96" spans="14:14" ht="15.75" customHeight="1" x14ac:dyDescent="0.2">
      <c r="N96" s="7" t="s">
        <v>488</v>
      </c>
    </row>
    <row r="97" spans="14:14" ht="15.75" customHeight="1" x14ac:dyDescent="0.2">
      <c r="N97" s="7" t="s">
        <v>487</v>
      </c>
    </row>
    <row r="98" spans="14:14" ht="15.75" customHeight="1" x14ac:dyDescent="0.2">
      <c r="N98" s="7" t="s">
        <v>486</v>
      </c>
    </row>
    <row r="99" spans="14:14" ht="15.75" customHeight="1" x14ac:dyDescent="0.2">
      <c r="N99" s="7" t="s">
        <v>485</v>
      </c>
    </row>
    <row r="100" spans="14:14" ht="15.75" customHeight="1" x14ac:dyDescent="0.2">
      <c r="N100" s="7" t="s">
        <v>484</v>
      </c>
    </row>
    <row r="101" spans="14:14" ht="15.75" customHeight="1" x14ac:dyDescent="0.2">
      <c r="N101" s="7" t="s">
        <v>483</v>
      </c>
    </row>
    <row r="102" spans="14:14" ht="15.75" customHeight="1" x14ac:dyDescent="0.2">
      <c r="N102" s="7" t="s">
        <v>197</v>
      </c>
    </row>
    <row r="103" spans="14:14" ht="15.75" customHeight="1" x14ac:dyDescent="0.2">
      <c r="N103" s="7" t="s">
        <v>205</v>
      </c>
    </row>
    <row r="104" spans="14:14" ht="15.75" customHeight="1" x14ac:dyDescent="0.2">
      <c r="N104" s="7" t="s">
        <v>206</v>
      </c>
    </row>
    <row r="105" spans="14:14" ht="15.75" customHeight="1" x14ac:dyDescent="0.2">
      <c r="N105" s="7" t="s">
        <v>208</v>
      </c>
    </row>
    <row r="106" spans="14:14" ht="15.75" customHeight="1" x14ac:dyDescent="0.2">
      <c r="N106" s="7" t="s">
        <v>199</v>
      </c>
    </row>
    <row r="107" spans="14:14" ht="15.75" customHeight="1" x14ac:dyDescent="0.2">
      <c r="N107" s="7" t="s">
        <v>210</v>
      </c>
    </row>
    <row r="108" spans="14:14" ht="15.75" customHeight="1" x14ac:dyDescent="0.2">
      <c r="N108" s="7" t="s">
        <v>201</v>
      </c>
    </row>
    <row r="109" spans="14:14" ht="15.75" customHeight="1" x14ac:dyDescent="0.2">
      <c r="N109" s="7" t="s">
        <v>212</v>
      </c>
    </row>
    <row r="110" spans="14:14" ht="15.75" customHeight="1" x14ac:dyDescent="0.2">
      <c r="N110" s="7" t="s">
        <v>203</v>
      </c>
    </row>
    <row r="111" spans="14:14" ht="15.75" customHeight="1" x14ac:dyDescent="0.2">
      <c r="N111" s="7" t="s">
        <v>214</v>
      </c>
    </row>
    <row r="112" spans="14:14" ht="15.75" customHeight="1" x14ac:dyDescent="0.2">
      <c r="N112" s="7" t="s">
        <v>481</v>
      </c>
    </row>
    <row r="113" spans="14:14" ht="15.75" customHeight="1" x14ac:dyDescent="0.2">
      <c r="N113" s="7" t="s">
        <v>480</v>
      </c>
    </row>
    <row r="114" spans="14:14" ht="15.75" customHeight="1" x14ac:dyDescent="0.2">
      <c r="N114" s="7" t="s">
        <v>479</v>
      </c>
    </row>
    <row r="115" spans="14:14" ht="15.75" customHeight="1" x14ac:dyDescent="0.2">
      <c r="N115" s="7" t="s">
        <v>478</v>
      </c>
    </row>
    <row r="116" spans="14:14" ht="15.75" customHeight="1" x14ac:dyDescent="0.2">
      <c r="N116" s="7" t="s">
        <v>477</v>
      </c>
    </row>
    <row r="117" spans="14:14" ht="15.75" customHeight="1" x14ac:dyDescent="0.2">
      <c r="N117" s="7" t="s">
        <v>475</v>
      </c>
    </row>
    <row r="118" spans="14:14" ht="15.75" customHeight="1" x14ac:dyDescent="0.2">
      <c r="N118" s="7" t="s">
        <v>473</v>
      </c>
    </row>
    <row r="119" spans="14:14" ht="15.75" customHeight="1" x14ac:dyDescent="0.2">
      <c r="N119" s="7" t="s">
        <v>471</v>
      </c>
    </row>
    <row r="120" spans="14:14" ht="15.75" customHeight="1" x14ac:dyDescent="0.2">
      <c r="N120" s="7" t="s">
        <v>469</v>
      </c>
    </row>
    <row r="121" spans="14:14" ht="15.75" customHeight="1" x14ac:dyDescent="0.2">
      <c r="N121" s="7" t="s">
        <v>324</v>
      </c>
    </row>
    <row r="122" spans="14:14" ht="15.75" customHeight="1" x14ac:dyDescent="0.2">
      <c r="N122" s="7" t="s">
        <v>325</v>
      </c>
    </row>
    <row r="123" spans="14:14" ht="15.75" customHeight="1" x14ac:dyDescent="0.2">
      <c r="N123" s="7" t="s">
        <v>326</v>
      </c>
    </row>
    <row r="124" spans="14:14" ht="15.75" customHeight="1" x14ac:dyDescent="0.2">
      <c r="N124" s="7" t="s">
        <v>327</v>
      </c>
    </row>
    <row r="125" spans="14:14" ht="15.75" customHeight="1" x14ac:dyDescent="0.2">
      <c r="N125" s="7" t="s">
        <v>372</v>
      </c>
    </row>
    <row r="126" spans="14:14" ht="15.75" customHeight="1" x14ac:dyDescent="0.2">
      <c r="N126" s="7" t="s">
        <v>467</v>
      </c>
    </row>
    <row r="127" spans="14:14" ht="15.75" customHeight="1" x14ac:dyDescent="0.2">
      <c r="N127" s="7" t="s">
        <v>464</v>
      </c>
    </row>
    <row r="128" spans="14:14" ht="15.75" customHeight="1" x14ac:dyDescent="0.2">
      <c r="N128" s="7" t="s">
        <v>241</v>
      </c>
    </row>
    <row r="129" spans="14:14" ht="15.75" customHeight="1" x14ac:dyDescent="0.2">
      <c r="N129" s="7" t="s">
        <v>239</v>
      </c>
    </row>
    <row r="130" spans="14:14" ht="15.75" customHeight="1" x14ac:dyDescent="0.2">
      <c r="N130" s="7" t="s">
        <v>244</v>
      </c>
    </row>
    <row r="131" spans="14:14" ht="15.75" customHeight="1" x14ac:dyDescent="0.2">
      <c r="N131" s="7" t="s">
        <v>240</v>
      </c>
    </row>
    <row r="132" spans="14:14" ht="15.75" customHeight="1" x14ac:dyDescent="0.2">
      <c r="N132" s="7" t="s">
        <v>249</v>
      </c>
    </row>
    <row r="133" spans="14:14" ht="15.75" customHeight="1" x14ac:dyDescent="0.2">
      <c r="N133" s="7" t="s">
        <v>462</v>
      </c>
    </row>
    <row r="134" spans="14:14" ht="15.75" customHeight="1" x14ac:dyDescent="0.2">
      <c r="N134" s="7" t="s">
        <v>51</v>
      </c>
    </row>
    <row r="135" spans="14:14" ht="15.75" customHeight="1" x14ac:dyDescent="0.2">
      <c r="N135" s="7" t="s">
        <v>49</v>
      </c>
    </row>
    <row r="136" spans="14:14" ht="15.75" customHeight="1" x14ac:dyDescent="0.2">
      <c r="N136" s="7" t="s">
        <v>282</v>
      </c>
    </row>
    <row r="137" spans="14:14" ht="15.75" customHeight="1" x14ac:dyDescent="0.2">
      <c r="N137" s="7" t="s">
        <v>283</v>
      </c>
    </row>
    <row r="138" spans="14:14" ht="15.75" customHeight="1" x14ac:dyDescent="0.2">
      <c r="N138" s="7" t="s">
        <v>284</v>
      </c>
    </row>
    <row r="139" spans="14:14" ht="15.75" customHeight="1" x14ac:dyDescent="0.2">
      <c r="N139" s="7" t="s">
        <v>285</v>
      </c>
    </row>
    <row r="140" spans="14:14" ht="15.75" customHeight="1" x14ac:dyDescent="0.2">
      <c r="N140" s="7" t="s">
        <v>286</v>
      </c>
    </row>
    <row r="141" spans="14:14" ht="15.75" customHeight="1" x14ac:dyDescent="0.2">
      <c r="N141" s="7" t="s">
        <v>289</v>
      </c>
    </row>
    <row r="142" spans="14:14" ht="15.75" customHeight="1" x14ac:dyDescent="0.2">
      <c r="N142" s="7" t="s">
        <v>290</v>
      </c>
    </row>
    <row r="143" spans="14:14" ht="15.75" customHeight="1" x14ac:dyDescent="0.2">
      <c r="N143" s="7" t="s">
        <v>291</v>
      </c>
    </row>
    <row r="144" spans="14:14" ht="15.75" customHeight="1" x14ac:dyDescent="0.2">
      <c r="N144" s="7" t="s">
        <v>292</v>
      </c>
    </row>
    <row r="145" spans="14:14" ht="15.75" customHeight="1" x14ac:dyDescent="0.2">
      <c r="N145" s="7" t="s">
        <v>293</v>
      </c>
    </row>
    <row r="146" spans="14:14" ht="15.75" customHeight="1" x14ac:dyDescent="0.2">
      <c r="N146" s="7" t="s">
        <v>303</v>
      </c>
    </row>
    <row r="147" spans="14:14" ht="15.75" customHeight="1" x14ac:dyDescent="0.2">
      <c r="N147" s="7" t="s">
        <v>299</v>
      </c>
    </row>
    <row r="148" spans="14:14" ht="15.75" customHeight="1" x14ac:dyDescent="0.2">
      <c r="N148" s="7" t="s">
        <v>300</v>
      </c>
    </row>
    <row r="149" spans="14:14" ht="15.75" customHeight="1" x14ac:dyDescent="0.2">
      <c r="N149" s="7" t="s">
        <v>301</v>
      </c>
    </row>
    <row r="150" spans="14:14" ht="15.75" customHeight="1" x14ac:dyDescent="0.2">
      <c r="N150" s="7" t="s">
        <v>255</v>
      </c>
    </row>
    <row r="151" spans="14:14" ht="15.75" customHeight="1" x14ac:dyDescent="0.2">
      <c r="N151" s="7" t="s">
        <v>272</v>
      </c>
    </row>
    <row r="152" spans="14:14" ht="15.75" customHeight="1" x14ac:dyDescent="0.2">
      <c r="N152" s="7" t="s">
        <v>257</v>
      </c>
    </row>
    <row r="153" spans="14:14" ht="15.75" customHeight="1" x14ac:dyDescent="0.2">
      <c r="N153" s="7" t="s">
        <v>260</v>
      </c>
    </row>
    <row r="154" spans="14:14" ht="15.75" customHeight="1" x14ac:dyDescent="0.2">
      <c r="N154" s="7" t="s">
        <v>262</v>
      </c>
    </row>
    <row r="155" spans="14:14" ht="15.75" customHeight="1" x14ac:dyDescent="0.2">
      <c r="N155" s="7" t="s">
        <v>264</v>
      </c>
    </row>
    <row r="156" spans="14:14" ht="15.75" customHeight="1" x14ac:dyDescent="0.2">
      <c r="N156" s="7" t="s">
        <v>267</v>
      </c>
    </row>
    <row r="157" spans="14:14" ht="15.75" customHeight="1" x14ac:dyDescent="0.2">
      <c r="N157" s="7" t="s">
        <v>270</v>
      </c>
    </row>
    <row r="158" spans="14:14" ht="15.75" customHeight="1" x14ac:dyDescent="0.2">
      <c r="N158" s="7" t="s">
        <v>86</v>
      </c>
    </row>
    <row r="159" spans="14:14" ht="15.75" customHeight="1" x14ac:dyDescent="0.2">
      <c r="N159" s="7" t="s">
        <v>90</v>
      </c>
    </row>
    <row r="160" spans="14:14" ht="15.75" customHeight="1" x14ac:dyDescent="0.2">
      <c r="N160" s="7" t="s">
        <v>92</v>
      </c>
    </row>
    <row r="161" spans="14:14" ht="15.75" customHeight="1" x14ac:dyDescent="0.2">
      <c r="N161" s="7" t="s">
        <v>95</v>
      </c>
    </row>
    <row r="162" spans="14:14" ht="15.75" customHeight="1" x14ac:dyDescent="0.2">
      <c r="N162" s="7" t="s">
        <v>96</v>
      </c>
    </row>
    <row r="163" spans="14:14" ht="15.75" customHeight="1" x14ac:dyDescent="0.2">
      <c r="N163" s="7" t="s">
        <v>102</v>
      </c>
    </row>
    <row r="164" spans="14:14" ht="15.75" customHeight="1" x14ac:dyDescent="0.2">
      <c r="N164" s="7" t="s">
        <v>636</v>
      </c>
    </row>
    <row r="165" spans="14:14" ht="15.75" customHeight="1" x14ac:dyDescent="0.2">
      <c r="N165" s="7" t="s">
        <v>647</v>
      </c>
    </row>
    <row r="166" spans="14:14" ht="15.75" customHeight="1" x14ac:dyDescent="0.2">
      <c r="N166" s="7" t="s">
        <v>648</v>
      </c>
    </row>
    <row r="167" spans="14:14" ht="15.75" customHeight="1" x14ac:dyDescent="0.2">
      <c r="N167" s="7" t="s">
        <v>649</v>
      </c>
    </row>
    <row r="168" spans="14:14" ht="15.75" customHeight="1" x14ac:dyDescent="0.2">
      <c r="N168" s="7" t="s">
        <v>650</v>
      </c>
    </row>
    <row r="169" spans="14:14" ht="15.75" customHeight="1" x14ac:dyDescent="0.2">
      <c r="N169" s="7" t="s">
        <v>652</v>
      </c>
    </row>
    <row r="170" spans="14:14" ht="15.75" customHeight="1" x14ac:dyDescent="0.2">
      <c r="N170" s="7" t="s">
        <v>653</v>
      </c>
    </row>
    <row r="171" spans="14:14" ht="15.75" customHeight="1" x14ac:dyDescent="0.2">
      <c r="N171" s="7" t="s">
        <v>638</v>
      </c>
    </row>
    <row r="172" spans="14:14" ht="15.75" customHeight="1" x14ac:dyDescent="0.2">
      <c r="N172" s="7" t="s">
        <v>632</v>
      </c>
    </row>
    <row r="173" spans="14:14" ht="15.75" customHeight="1" x14ac:dyDescent="0.2">
      <c r="N173" s="7" t="s">
        <v>623</v>
      </c>
    </row>
    <row r="174" spans="14:14" ht="15.75" customHeight="1" x14ac:dyDescent="0.2">
      <c r="N174" s="7" t="s">
        <v>624</v>
      </c>
    </row>
    <row r="175" spans="14:14" ht="15.75" customHeight="1" x14ac:dyDescent="0.2">
      <c r="N175" s="7" t="s">
        <v>626</v>
      </c>
    </row>
    <row r="176" spans="14:14" ht="15.75" customHeight="1" x14ac:dyDescent="0.2">
      <c r="N176" s="7" t="s">
        <v>625</v>
      </c>
    </row>
    <row r="177" spans="14:14" ht="15.75" customHeight="1" x14ac:dyDescent="0.2">
      <c r="N177" s="7" t="s">
        <v>629</v>
      </c>
    </row>
    <row r="178" spans="14:14" ht="15.75" customHeight="1" x14ac:dyDescent="0.2">
      <c r="N178" s="7" t="s">
        <v>630</v>
      </c>
    </row>
    <row r="179" spans="14:14" ht="15.75" customHeight="1" x14ac:dyDescent="0.2">
      <c r="N179" s="7" t="s">
        <v>628</v>
      </c>
    </row>
    <row r="180" spans="14:14" ht="15.75" customHeight="1" x14ac:dyDescent="0.2">
      <c r="N180" s="7" t="s">
        <v>634</v>
      </c>
    </row>
    <row r="181" spans="14:14" ht="15.75" customHeight="1" x14ac:dyDescent="0.2">
      <c r="N181" s="7" t="s">
        <v>635</v>
      </c>
    </row>
    <row r="182" spans="14:14" ht="15.75" customHeight="1" x14ac:dyDescent="0.2">
      <c r="N182" s="7" t="s">
        <v>633</v>
      </c>
    </row>
    <row r="183" spans="14:14" ht="15.75" customHeight="1" x14ac:dyDescent="0.2">
      <c r="N183" s="7" t="s">
        <v>637</v>
      </c>
    </row>
    <row r="184" spans="14:14" ht="15.75" customHeight="1" x14ac:dyDescent="0.2">
      <c r="N184" s="7" t="s">
        <v>725</v>
      </c>
    </row>
    <row r="185" spans="14:14" ht="15.75" customHeight="1" x14ac:dyDescent="0.2">
      <c r="N185" s="7" t="s">
        <v>726</v>
      </c>
    </row>
    <row r="186" spans="14:14" ht="15.75" customHeight="1" x14ac:dyDescent="0.2">
      <c r="N186" s="7" t="s">
        <v>727</v>
      </c>
    </row>
    <row r="187" spans="14:14" ht="15.75" customHeight="1" x14ac:dyDescent="0.2">
      <c r="N187" s="7" t="s">
        <v>460</v>
      </c>
    </row>
    <row r="188" spans="14:14" ht="15.75" customHeight="1" x14ac:dyDescent="0.2">
      <c r="N188" s="7" t="s">
        <v>459</v>
      </c>
    </row>
    <row r="189" spans="14:14" ht="15.75" customHeight="1" x14ac:dyDescent="0.2">
      <c r="N189" s="7" t="s">
        <v>457</v>
      </c>
    </row>
    <row r="190" spans="14:14" ht="15.75" customHeight="1" x14ac:dyDescent="0.2">
      <c r="N190" s="7" t="s">
        <v>455</v>
      </c>
    </row>
    <row r="191" spans="14:14" ht="15.75" customHeight="1" x14ac:dyDescent="0.2">
      <c r="N191" s="7" t="s">
        <v>454</v>
      </c>
    </row>
    <row r="192" spans="14:14" ht="15.75" customHeight="1" x14ac:dyDescent="0.2">
      <c r="N192" s="7" t="s">
        <v>451</v>
      </c>
    </row>
    <row r="193" spans="14:14" ht="15.75" customHeight="1" x14ac:dyDescent="0.2">
      <c r="N193" s="7" t="s">
        <v>450</v>
      </c>
    </row>
    <row r="194" spans="14:14" ht="15.75" customHeight="1" x14ac:dyDescent="0.2">
      <c r="N194" s="7" t="s">
        <v>691</v>
      </c>
    </row>
    <row r="195" spans="14:14" ht="15.75" customHeight="1" x14ac:dyDescent="0.2">
      <c r="N195" s="7" t="s">
        <v>692</v>
      </c>
    </row>
    <row r="196" spans="14:14" ht="15.75" customHeight="1" x14ac:dyDescent="0.2">
      <c r="N196" s="7" t="s">
        <v>693</v>
      </c>
    </row>
    <row r="197" spans="14:14" ht="15.75" customHeight="1" x14ac:dyDescent="0.2">
      <c r="N197" s="7" t="s">
        <v>695</v>
      </c>
    </row>
    <row r="198" spans="14:14" ht="15.75" customHeight="1" x14ac:dyDescent="0.2">
      <c r="N198" s="7" t="s">
        <v>446</v>
      </c>
    </row>
    <row r="199" spans="14:14" ht="15.75" customHeight="1" x14ac:dyDescent="0.2">
      <c r="N199" s="7" t="s">
        <v>440</v>
      </c>
    </row>
    <row r="200" spans="14:14" ht="15.75" customHeight="1" x14ac:dyDescent="0.2">
      <c r="N200" s="7" t="s">
        <v>437</v>
      </c>
    </row>
    <row r="201" spans="14:14" ht="15.75" customHeight="1" x14ac:dyDescent="0.2">
      <c r="N201" s="7" t="s">
        <v>436</v>
      </c>
    </row>
    <row r="202" spans="14:14" ht="15.75" customHeight="1" x14ac:dyDescent="0.2">
      <c r="N202" s="7" t="s">
        <v>435</v>
      </c>
    </row>
    <row r="203" spans="14:14" ht="15.75" customHeight="1" x14ac:dyDescent="0.2">
      <c r="N203" s="7" t="s">
        <v>434</v>
      </c>
    </row>
    <row r="204" spans="14:14" ht="15.75" customHeight="1" x14ac:dyDescent="0.2">
      <c r="N204" s="7" t="s">
        <v>433</v>
      </c>
    </row>
    <row r="205" spans="14:14" ht="15.75" customHeight="1" x14ac:dyDescent="0.2"/>
    <row r="206" spans="14:14" ht="15.75" customHeight="1" x14ac:dyDescent="0.2"/>
    <row r="207" spans="14:14" ht="15.75" customHeight="1" x14ac:dyDescent="0.2"/>
    <row r="208" spans="14:14" ht="15.75" customHeight="1" x14ac:dyDescent="0.2"/>
    <row r="209" spans="14:14" ht="15.75" customHeight="1" x14ac:dyDescent="0.2"/>
    <row r="210" spans="14:14" ht="15.75" customHeight="1" x14ac:dyDescent="0.2"/>
    <row r="211" spans="14:14" ht="15.75" customHeight="1" x14ac:dyDescent="0.2"/>
    <row r="212" spans="14:14" ht="15.75" customHeight="1" x14ac:dyDescent="0.2"/>
    <row r="213" spans="14:14" ht="15.75" customHeight="1" x14ac:dyDescent="0.2"/>
    <row r="214" spans="14:14" ht="15.75" customHeight="1" x14ac:dyDescent="0.2"/>
    <row r="215" spans="14:14" ht="15.75" customHeight="1" x14ac:dyDescent="0.2"/>
    <row r="216" spans="14:14" ht="15.75" customHeight="1" x14ac:dyDescent="0.2"/>
    <row r="217" spans="14:14" ht="15.75" customHeight="1" x14ac:dyDescent="0.2"/>
    <row r="218" spans="14:14" ht="15.75" customHeight="1" x14ac:dyDescent="0.2"/>
    <row r="219" spans="14:14" ht="15.75" customHeight="1" x14ac:dyDescent="0.2"/>
    <row r="220" spans="14:14" ht="15.75" customHeight="1" x14ac:dyDescent="0.2"/>
    <row r="221" spans="14:14" ht="15.75" customHeight="1" x14ac:dyDescent="0.2"/>
    <row r="222" spans="14:14" ht="15.75" customHeight="1" x14ac:dyDescent="0.2">
      <c r="N222" s="9"/>
    </row>
    <row r="223" spans="14:14" ht="15.75" customHeight="1" x14ac:dyDescent="0.2">
      <c r="N223" s="9"/>
    </row>
    <row r="224" spans="14:14" ht="15.75" customHeight="1" x14ac:dyDescent="0.2">
      <c r="N224" s="9"/>
    </row>
    <row r="225" spans="14:14" ht="15.75" customHeight="1" x14ac:dyDescent="0.2">
      <c r="N225" s="9"/>
    </row>
    <row r="226" spans="14:14" ht="15.75" customHeight="1" x14ac:dyDescent="0.2">
      <c r="N226" s="9"/>
    </row>
    <row r="227" spans="14:14" ht="15.75" customHeight="1" x14ac:dyDescent="0.2">
      <c r="N227" s="9"/>
    </row>
    <row r="228" spans="14:14" ht="15.75" customHeight="1" x14ac:dyDescent="0.2">
      <c r="N228" s="9"/>
    </row>
    <row r="229" spans="14:14" ht="15.75" customHeight="1" x14ac:dyDescent="0.2">
      <c r="N229" s="9"/>
    </row>
    <row r="230" spans="14:14" ht="15.75" customHeight="1" x14ac:dyDescent="0.2">
      <c r="N230" s="9"/>
    </row>
    <row r="231" spans="14:14" ht="15.75" customHeight="1" x14ac:dyDescent="0.2">
      <c r="N231" s="9"/>
    </row>
    <row r="232" spans="14:14" ht="15.75" customHeight="1" x14ac:dyDescent="0.2">
      <c r="N232" s="9"/>
    </row>
    <row r="233" spans="14:14" ht="15.75" customHeight="1" x14ac:dyDescent="0.2">
      <c r="N233" s="9"/>
    </row>
    <row r="234" spans="14:14" ht="15.75" customHeight="1" x14ac:dyDescent="0.2">
      <c r="N234" s="9"/>
    </row>
    <row r="235" spans="14:14" ht="15.75" customHeight="1" x14ac:dyDescent="0.2">
      <c r="N235" s="9"/>
    </row>
    <row r="236" spans="14:14" ht="15.75" customHeight="1" x14ac:dyDescent="0.2">
      <c r="N236" s="9"/>
    </row>
    <row r="237" spans="14:14" ht="15.75" customHeight="1" x14ac:dyDescent="0.2">
      <c r="N237" s="9"/>
    </row>
    <row r="238" spans="14:14" ht="15.75" customHeight="1" x14ac:dyDescent="0.2">
      <c r="N238" s="9"/>
    </row>
    <row r="239" spans="14:14" ht="15.75" customHeight="1" x14ac:dyDescent="0.2">
      <c r="N239" s="9"/>
    </row>
    <row r="240" spans="14:14" ht="15.75" customHeight="1" x14ac:dyDescent="0.2">
      <c r="N240" s="9"/>
    </row>
    <row r="241" spans="14:14" ht="15.75" customHeight="1" x14ac:dyDescent="0.2">
      <c r="N241" s="9"/>
    </row>
    <row r="242" spans="14:14" ht="15.75" customHeight="1" x14ac:dyDescent="0.2">
      <c r="N242" s="9"/>
    </row>
    <row r="243" spans="14:14" ht="15.75" customHeight="1" x14ac:dyDescent="0.2">
      <c r="N243" s="9"/>
    </row>
    <row r="244" spans="14:14" ht="15.75" customHeight="1" x14ac:dyDescent="0.2">
      <c r="N244" s="9"/>
    </row>
    <row r="245" spans="14:14" ht="15.75" customHeight="1" x14ac:dyDescent="0.2">
      <c r="N245" s="9"/>
    </row>
    <row r="246" spans="14:14" ht="15.75" customHeight="1" x14ac:dyDescent="0.2">
      <c r="N246" s="9"/>
    </row>
    <row r="247" spans="14:14" ht="15.75" customHeight="1" x14ac:dyDescent="0.2">
      <c r="N247" s="9"/>
    </row>
    <row r="248" spans="14:14" ht="15.75" customHeight="1" x14ac:dyDescent="0.2">
      <c r="N248" s="9"/>
    </row>
    <row r="249" spans="14:14" ht="15.75" customHeight="1" x14ac:dyDescent="0.2">
      <c r="N249" s="9"/>
    </row>
    <row r="250" spans="14:14" ht="15.75" customHeight="1" x14ac:dyDescent="0.2">
      <c r="N250" s="9"/>
    </row>
    <row r="251" spans="14:14" ht="15.75" customHeight="1" x14ac:dyDescent="0.2">
      <c r="N251" s="9"/>
    </row>
    <row r="252" spans="14:14" ht="15.75" customHeight="1" x14ac:dyDescent="0.2">
      <c r="N252" s="9"/>
    </row>
    <row r="253" spans="14:14" ht="15.75" customHeight="1" x14ac:dyDescent="0.2">
      <c r="N253" s="9"/>
    </row>
    <row r="254" spans="14:14" ht="15.75" customHeight="1" x14ac:dyDescent="0.2">
      <c r="N254" s="9"/>
    </row>
    <row r="255" spans="14:14" ht="15.75" customHeight="1" x14ac:dyDescent="0.2">
      <c r="N255" s="9"/>
    </row>
    <row r="256" spans="14:14" ht="15.75" customHeight="1" x14ac:dyDescent="0.2">
      <c r="N256" s="9"/>
    </row>
    <row r="257" spans="14:14" ht="15.75" customHeight="1" x14ac:dyDescent="0.2">
      <c r="N257" s="9"/>
    </row>
    <row r="258" spans="14:14" ht="15.75" customHeight="1" x14ac:dyDescent="0.2">
      <c r="N258" s="9"/>
    </row>
    <row r="259" spans="14:14" ht="15.75" customHeight="1" x14ac:dyDescent="0.2">
      <c r="N259" s="9"/>
    </row>
    <row r="260" spans="14:14" ht="15.75" customHeight="1" x14ac:dyDescent="0.2">
      <c r="N260" s="9"/>
    </row>
    <row r="261" spans="14:14" ht="15.75" customHeight="1" x14ac:dyDescent="0.2">
      <c r="N261" s="9"/>
    </row>
    <row r="262" spans="14:14" ht="15.75" customHeight="1" x14ac:dyDescent="0.2">
      <c r="N262" s="9"/>
    </row>
    <row r="263" spans="14:14" ht="15.75" customHeight="1" x14ac:dyDescent="0.2">
      <c r="N263" s="9"/>
    </row>
    <row r="264" spans="14:14" ht="15.75" customHeight="1" x14ac:dyDescent="0.2">
      <c r="N264" s="9"/>
    </row>
    <row r="265" spans="14:14" ht="15.75" customHeight="1" x14ac:dyDescent="0.2">
      <c r="N265" s="9"/>
    </row>
    <row r="266" spans="14:14" ht="15.75" customHeight="1" x14ac:dyDescent="0.2">
      <c r="N266" s="9"/>
    </row>
    <row r="267" spans="14:14" ht="15.75" customHeight="1" x14ac:dyDescent="0.2">
      <c r="N267" s="9"/>
    </row>
    <row r="268" spans="14:14" ht="15.75" customHeight="1" x14ac:dyDescent="0.2">
      <c r="N268" s="9"/>
    </row>
    <row r="269" spans="14:14" ht="15.75" customHeight="1" x14ac:dyDescent="0.2">
      <c r="N269" s="9"/>
    </row>
    <row r="270" spans="14:14" ht="15.75" customHeight="1" x14ac:dyDescent="0.2">
      <c r="N270" s="9"/>
    </row>
    <row r="271" spans="14:14" ht="15.75" customHeight="1" x14ac:dyDescent="0.2">
      <c r="N271" s="9"/>
    </row>
    <row r="272" spans="14:14" ht="15.75" customHeight="1" x14ac:dyDescent="0.2">
      <c r="N272" s="9"/>
    </row>
    <row r="273" spans="14:14" ht="15.75" customHeight="1" x14ac:dyDescent="0.2">
      <c r="N273" s="9"/>
    </row>
    <row r="274" spans="14:14" ht="15.75" customHeight="1" x14ac:dyDescent="0.2">
      <c r="N274" s="9"/>
    </row>
    <row r="275" spans="14:14" ht="15.75" customHeight="1" x14ac:dyDescent="0.2">
      <c r="N275" s="9"/>
    </row>
    <row r="276" spans="14:14" ht="15.75" customHeight="1" x14ac:dyDescent="0.2">
      <c r="N276" s="9"/>
    </row>
    <row r="277" spans="14:14" ht="15.75" customHeight="1" x14ac:dyDescent="0.2">
      <c r="N277" s="9"/>
    </row>
    <row r="278" spans="14:14" ht="15.75" customHeight="1" x14ac:dyDescent="0.2">
      <c r="N278" s="9"/>
    </row>
    <row r="279" spans="14:14" ht="15.75" customHeight="1" x14ac:dyDescent="0.2">
      <c r="N279" s="9"/>
    </row>
    <row r="280" spans="14:14" ht="15.75" customHeight="1" x14ac:dyDescent="0.2">
      <c r="N280" s="9"/>
    </row>
    <row r="281" spans="14:14" ht="15.75" customHeight="1" x14ac:dyDescent="0.2">
      <c r="N281" s="9"/>
    </row>
    <row r="282" spans="14:14" ht="15.75" customHeight="1" x14ac:dyDescent="0.2">
      <c r="N282" s="9"/>
    </row>
    <row r="283" spans="14:14" ht="15.75" customHeight="1" x14ac:dyDescent="0.2">
      <c r="N283" s="9"/>
    </row>
    <row r="284" spans="14:14" ht="15.75" customHeight="1" x14ac:dyDescent="0.2">
      <c r="N284" s="9"/>
    </row>
    <row r="285" spans="14:14" ht="15.75" customHeight="1" x14ac:dyDescent="0.2">
      <c r="N285" s="9"/>
    </row>
    <row r="286" spans="14:14" ht="15.75" customHeight="1" x14ac:dyDescent="0.2">
      <c r="N286" s="9"/>
    </row>
    <row r="287" spans="14:14" ht="15.75" customHeight="1" x14ac:dyDescent="0.2">
      <c r="N287" s="9"/>
    </row>
    <row r="288" spans="14:14" ht="15.75" customHeight="1" x14ac:dyDescent="0.2">
      <c r="N288" s="9"/>
    </row>
    <row r="289" spans="14:14" ht="15.75" customHeight="1" x14ac:dyDescent="0.2">
      <c r="N289" s="9"/>
    </row>
    <row r="290" spans="14:14" ht="15.75" customHeight="1" x14ac:dyDescent="0.2">
      <c r="N290" s="9"/>
    </row>
    <row r="291" spans="14:14" ht="15.75" customHeight="1" x14ac:dyDescent="0.2">
      <c r="N291" s="9"/>
    </row>
    <row r="292" spans="14:14" ht="15.75" customHeight="1" x14ac:dyDescent="0.2">
      <c r="N292" s="9"/>
    </row>
    <row r="293" spans="14:14" ht="15.75" customHeight="1" x14ac:dyDescent="0.2">
      <c r="N293" s="9"/>
    </row>
    <row r="294" spans="14:14" ht="15.75" customHeight="1" x14ac:dyDescent="0.2">
      <c r="N294" s="9"/>
    </row>
    <row r="295" spans="14:14" ht="15.75" customHeight="1" x14ac:dyDescent="0.2">
      <c r="N295" s="9"/>
    </row>
    <row r="296" spans="14:14" ht="15.75" customHeight="1" x14ac:dyDescent="0.2">
      <c r="N296" s="9"/>
    </row>
    <row r="297" spans="14:14" ht="15.75" customHeight="1" x14ac:dyDescent="0.2">
      <c r="N297" s="9"/>
    </row>
    <row r="298" spans="14:14" ht="15.75" customHeight="1" x14ac:dyDescent="0.2">
      <c r="N298" s="9"/>
    </row>
    <row r="299" spans="14:14" ht="15.75" customHeight="1" x14ac:dyDescent="0.2">
      <c r="N299" s="9"/>
    </row>
    <row r="300" spans="14:14" ht="15.75" customHeight="1" x14ac:dyDescent="0.2">
      <c r="N300" s="9"/>
    </row>
    <row r="301" spans="14:14" ht="15.75" customHeight="1" x14ac:dyDescent="0.2">
      <c r="N301" s="9"/>
    </row>
    <row r="302" spans="14:14" ht="15.75" customHeight="1" x14ac:dyDescent="0.2">
      <c r="N302" s="9"/>
    </row>
    <row r="303" spans="14:14" ht="15.75" customHeight="1" x14ac:dyDescent="0.2">
      <c r="N303" s="9"/>
    </row>
    <row r="304" spans="14:14" ht="15.75" customHeight="1" x14ac:dyDescent="0.2">
      <c r="N304" s="9"/>
    </row>
    <row r="305" spans="14:14" ht="15.75" customHeight="1" x14ac:dyDescent="0.2">
      <c r="N305" s="9"/>
    </row>
    <row r="306" spans="14:14" ht="15.75" customHeight="1" x14ac:dyDescent="0.2">
      <c r="N306" s="9"/>
    </row>
    <row r="307" spans="14:14" ht="15.75" customHeight="1" x14ac:dyDescent="0.2">
      <c r="N307" s="9"/>
    </row>
    <row r="308" spans="14:14" ht="15.75" customHeight="1" x14ac:dyDescent="0.2">
      <c r="N308" s="9"/>
    </row>
    <row r="309" spans="14:14" ht="15.75" customHeight="1" x14ac:dyDescent="0.2">
      <c r="N309" s="9"/>
    </row>
    <row r="310" spans="14:14" ht="15.75" customHeight="1" x14ac:dyDescent="0.2">
      <c r="N310" s="9"/>
    </row>
    <row r="311" spans="14:14" ht="15.75" customHeight="1" x14ac:dyDescent="0.2">
      <c r="N311" s="9"/>
    </row>
    <row r="312" spans="14:14" ht="15.75" customHeight="1" x14ac:dyDescent="0.2">
      <c r="N312" s="9"/>
    </row>
    <row r="313" spans="14:14" ht="15.75" customHeight="1" x14ac:dyDescent="0.2">
      <c r="N313" s="9"/>
    </row>
    <row r="314" spans="14:14" ht="15.75" customHeight="1" x14ac:dyDescent="0.2">
      <c r="N314" s="9"/>
    </row>
    <row r="315" spans="14:14" ht="15.75" customHeight="1" x14ac:dyDescent="0.2">
      <c r="N315" s="9"/>
    </row>
    <row r="316" spans="14:14" ht="15.75" customHeight="1" x14ac:dyDescent="0.2">
      <c r="N316" s="9"/>
    </row>
    <row r="317" spans="14:14" ht="15.75" customHeight="1" x14ac:dyDescent="0.2">
      <c r="N317" s="9"/>
    </row>
    <row r="318" spans="14:14" ht="15.75" customHeight="1" x14ac:dyDescent="0.2">
      <c r="N318" s="9"/>
    </row>
    <row r="319" spans="14:14" ht="15.75" customHeight="1" x14ac:dyDescent="0.2">
      <c r="N319" s="9"/>
    </row>
    <row r="320" spans="14:14" ht="15.75" customHeight="1" x14ac:dyDescent="0.2">
      <c r="N320" s="9"/>
    </row>
    <row r="321" spans="14:14" ht="15.75" customHeight="1" x14ac:dyDescent="0.2">
      <c r="N321" s="9"/>
    </row>
    <row r="322" spans="14:14" ht="15.75" customHeight="1" x14ac:dyDescent="0.2">
      <c r="N322" s="9"/>
    </row>
    <row r="323" spans="14:14" ht="15.75" customHeight="1" x14ac:dyDescent="0.2">
      <c r="N323" s="9"/>
    </row>
    <row r="324" spans="14:14" ht="15.75" customHeight="1" x14ac:dyDescent="0.2">
      <c r="N324" s="9"/>
    </row>
    <row r="325" spans="14:14" ht="15.75" customHeight="1" x14ac:dyDescent="0.2">
      <c r="N325" s="9"/>
    </row>
    <row r="326" spans="14:14" ht="15.75" customHeight="1" x14ac:dyDescent="0.2">
      <c r="N326" s="9"/>
    </row>
    <row r="327" spans="14:14" ht="15.75" customHeight="1" x14ac:dyDescent="0.2">
      <c r="N327" s="9"/>
    </row>
    <row r="328" spans="14:14" ht="15.75" customHeight="1" x14ac:dyDescent="0.2">
      <c r="N328" s="9"/>
    </row>
    <row r="329" spans="14:14" ht="15.75" customHeight="1" x14ac:dyDescent="0.2">
      <c r="N329" s="9"/>
    </row>
    <row r="330" spans="14:14" ht="15.75" customHeight="1" x14ac:dyDescent="0.2">
      <c r="N330" s="9"/>
    </row>
    <row r="331" spans="14:14" ht="15.75" customHeight="1" x14ac:dyDescent="0.2">
      <c r="N331" s="9"/>
    </row>
    <row r="332" spans="14:14" ht="15.75" customHeight="1" x14ac:dyDescent="0.2">
      <c r="N332" s="9"/>
    </row>
    <row r="333" spans="14:14" ht="15.75" customHeight="1" x14ac:dyDescent="0.2">
      <c r="N333" s="9"/>
    </row>
    <row r="334" spans="14:14" ht="15.75" customHeight="1" x14ac:dyDescent="0.2">
      <c r="N334" s="9"/>
    </row>
    <row r="335" spans="14:14" ht="15.75" customHeight="1" x14ac:dyDescent="0.2">
      <c r="N335" s="9"/>
    </row>
    <row r="336" spans="14:14" ht="15.75" customHeight="1" x14ac:dyDescent="0.2">
      <c r="N336" s="9"/>
    </row>
    <row r="337" spans="14:14" ht="15.75" customHeight="1" x14ac:dyDescent="0.2">
      <c r="N337" s="9"/>
    </row>
    <row r="338" spans="14:14" ht="15.75" customHeight="1" x14ac:dyDescent="0.2">
      <c r="N338" s="9"/>
    </row>
    <row r="339" spans="14:14" ht="15.75" customHeight="1" x14ac:dyDescent="0.2">
      <c r="N339" s="9"/>
    </row>
    <row r="340" spans="14:14" ht="15.75" customHeight="1" x14ac:dyDescent="0.2">
      <c r="N340" s="9"/>
    </row>
    <row r="341" spans="14:14" ht="15.75" customHeight="1" x14ac:dyDescent="0.2">
      <c r="N341" s="9"/>
    </row>
    <row r="342" spans="14:14" ht="15.75" customHeight="1" x14ac:dyDescent="0.2">
      <c r="N342" s="9"/>
    </row>
    <row r="343" spans="14:14" ht="15.75" customHeight="1" x14ac:dyDescent="0.2">
      <c r="N343" s="9"/>
    </row>
    <row r="344" spans="14:14" ht="15.75" customHeight="1" x14ac:dyDescent="0.2">
      <c r="N344" s="9"/>
    </row>
    <row r="345" spans="14:14" ht="15.75" customHeight="1" x14ac:dyDescent="0.2">
      <c r="N345" s="9"/>
    </row>
    <row r="346" spans="14:14" ht="15.75" customHeight="1" x14ac:dyDescent="0.2">
      <c r="N346" s="9"/>
    </row>
    <row r="347" spans="14:14" ht="15.75" customHeight="1" x14ac:dyDescent="0.2">
      <c r="N347" s="9"/>
    </row>
    <row r="348" spans="14:14" ht="15.75" customHeight="1" x14ac:dyDescent="0.2">
      <c r="N348" s="9"/>
    </row>
    <row r="349" spans="14:14" ht="15.75" customHeight="1" x14ac:dyDescent="0.2">
      <c r="N349" s="9"/>
    </row>
    <row r="350" spans="14:14" ht="15.75" customHeight="1" x14ac:dyDescent="0.2">
      <c r="N350" s="9"/>
    </row>
    <row r="351" spans="14:14" ht="15.75" customHeight="1" x14ac:dyDescent="0.2">
      <c r="N351" s="9"/>
    </row>
    <row r="352" spans="14:14" ht="15.75" customHeight="1" x14ac:dyDescent="0.2">
      <c r="N352" s="9"/>
    </row>
    <row r="353" spans="14:14" ht="15.75" customHeight="1" x14ac:dyDescent="0.2">
      <c r="N353" s="9"/>
    </row>
    <row r="354" spans="14:14" ht="15.75" customHeight="1" x14ac:dyDescent="0.2">
      <c r="N354" s="9"/>
    </row>
    <row r="355" spans="14:14" ht="15.75" customHeight="1" x14ac:dyDescent="0.2">
      <c r="N355" s="9"/>
    </row>
    <row r="356" spans="14:14" ht="15.75" customHeight="1" x14ac:dyDescent="0.2">
      <c r="N356" s="9"/>
    </row>
    <row r="357" spans="14:14" ht="15.75" customHeight="1" x14ac:dyDescent="0.2">
      <c r="N357" s="9"/>
    </row>
    <row r="358" spans="14:14" ht="15.75" customHeight="1" x14ac:dyDescent="0.2">
      <c r="N358" s="9"/>
    </row>
    <row r="359" spans="14:14" ht="15.75" customHeight="1" x14ac:dyDescent="0.2">
      <c r="N359" s="9"/>
    </row>
    <row r="360" spans="14:14" ht="15.75" customHeight="1" x14ac:dyDescent="0.2">
      <c r="N360" s="9"/>
    </row>
    <row r="361" spans="14:14" ht="15.75" customHeight="1" x14ac:dyDescent="0.2">
      <c r="N361" s="9"/>
    </row>
    <row r="362" spans="14:14" ht="15.75" customHeight="1" x14ac:dyDescent="0.2">
      <c r="N362" s="9"/>
    </row>
    <row r="363" spans="14:14" ht="15.75" customHeight="1" x14ac:dyDescent="0.2">
      <c r="N363" s="9"/>
    </row>
    <row r="364" spans="14:14" ht="15.75" customHeight="1" x14ac:dyDescent="0.2">
      <c r="N364" s="9"/>
    </row>
    <row r="365" spans="14:14" ht="15.75" customHeight="1" x14ac:dyDescent="0.2">
      <c r="N365" s="9"/>
    </row>
    <row r="366" spans="14:14" ht="15.75" customHeight="1" x14ac:dyDescent="0.2">
      <c r="N366" s="9"/>
    </row>
    <row r="367" spans="14:14" ht="15.75" customHeight="1" x14ac:dyDescent="0.2">
      <c r="N367" s="9"/>
    </row>
    <row r="368" spans="14:14" ht="15.75" customHeight="1" x14ac:dyDescent="0.2">
      <c r="N368" s="9"/>
    </row>
    <row r="369" spans="14:14" ht="15.75" customHeight="1" x14ac:dyDescent="0.2">
      <c r="N369" s="9"/>
    </row>
    <row r="370" spans="14:14" ht="15.75" customHeight="1" x14ac:dyDescent="0.2">
      <c r="N370" s="9"/>
    </row>
    <row r="371" spans="14:14" ht="15.75" customHeight="1" x14ac:dyDescent="0.2">
      <c r="N371" s="9"/>
    </row>
    <row r="372" spans="14:14" ht="15.75" customHeight="1" x14ac:dyDescent="0.2">
      <c r="N372" s="9"/>
    </row>
    <row r="373" spans="14:14" ht="15.75" customHeight="1" x14ac:dyDescent="0.2">
      <c r="N373" s="9"/>
    </row>
    <row r="374" spans="14:14" ht="15.75" customHeight="1" x14ac:dyDescent="0.2">
      <c r="N374" s="9"/>
    </row>
    <row r="375" spans="14:14" ht="15.75" customHeight="1" x14ac:dyDescent="0.2">
      <c r="N375" s="9"/>
    </row>
    <row r="376" spans="14:14" ht="15.75" customHeight="1" x14ac:dyDescent="0.2">
      <c r="N376" s="9"/>
    </row>
    <row r="377" spans="14:14" ht="15.75" customHeight="1" x14ac:dyDescent="0.2">
      <c r="N377" s="9"/>
    </row>
    <row r="378" spans="14:14" ht="15.75" customHeight="1" x14ac:dyDescent="0.2">
      <c r="N378" s="9"/>
    </row>
    <row r="379" spans="14:14" ht="15.75" customHeight="1" x14ac:dyDescent="0.2">
      <c r="N379" s="9"/>
    </row>
    <row r="380" spans="14:14" ht="15.75" customHeight="1" x14ac:dyDescent="0.2">
      <c r="N380" s="9"/>
    </row>
    <row r="381" spans="14:14" ht="15.75" customHeight="1" x14ac:dyDescent="0.2">
      <c r="N381" s="9"/>
    </row>
    <row r="382" spans="14:14" ht="15.75" customHeight="1" x14ac:dyDescent="0.2">
      <c r="N382" s="9"/>
    </row>
    <row r="383" spans="14:14" ht="15.75" customHeight="1" x14ac:dyDescent="0.2">
      <c r="N383" s="9"/>
    </row>
    <row r="384" spans="14:14" ht="15.75" customHeight="1" x14ac:dyDescent="0.2">
      <c r="N384" s="9"/>
    </row>
    <row r="385" spans="14:14" ht="15.75" customHeight="1" x14ac:dyDescent="0.2">
      <c r="N385" s="9"/>
    </row>
    <row r="386" spans="14:14" ht="15.75" customHeight="1" x14ac:dyDescent="0.2">
      <c r="N386" s="9"/>
    </row>
    <row r="387" spans="14:14" ht="15.75" customHeight="1" x14ac:dyDescent="0.2">
      <c r="N387" s="9"/>
    </row>
    <row r="388" spans="14:14" ht="15.75" customHeight="1" x14ac:dyDescent="0.2">
      <c r="N388" s="9"/>
    </row>
    <row r="389" spans="14:14" ht="15.75" customHeight="1" x14ac:dyDescent="0.2">
      <c r="N389" s="9"/>
    </row>
    <row r="390" spans="14:14" ht="15.75" customHeight="1" x14ac:dyDescent="0.2">
      <c r="N390" s="9"/>
    </row>
    <row r="391" spans="14:14" ht="15.75" customHeight="1" x14ac:dyDescent="0.2">
      <c r="N391" s="9"/>
    </row>
    <row r="392" spans="14:14" ht="15.75" customHeight="1" x14ac:dyDescent="0.2">
      <c r="N392" s="9"/>
    </row>
    <row r="393" spans="14:14" ht="15.75" customHeight="1" x14ac:dyDescent="0.2">
      <c r="N393" s="9"/>
    </row>
    <row r="394" spans="14:14" ht="15.75" customHeight="1" x14ac:dyDescent="0.2">
      <c r="N394" s="9"/>
    </row>
    <row r="395" spans="14:14" ht="15.75" customHeight="1" x14ac:dyDescent="0.2">
      <c r="N395" s="9"/>
    </row>
    <row r="396" spans="14:14" ht="15.75" customHeight="1" x14ac:dyDescent="0.2">
      <c r="N396" s="9"/>
    </row>
    <row r="397" spans="14:14" ht="15.75" customHeight="1" x14ac:dyDescent="0.2">
      <c r="N397" s="9"/>
    </row>
    <row r="398" spans="14:14" ht="15.75" customHeight="1" x14ac:dyDescent="0.2">
      <c r="N398" s="9"/>
    </row>
    <row r="399" spans="14:14" ht="15.75" customHeight="1" x14ac:dyDescent="0.2">
      <c r="N399" s="9"/>
    </row>
    <row r="400" spans="14:14" ht="15.75" customHeight="1" x14ac:dyDescent="0.2">
      <c r="N400" s="9"/>
    </row>
    <row r="401" spans="14:14" ht="15.75" customHeight="1" x14ac:dyDescent="0.2">
      <c r="N401" s="9"/>
    </row>
    <row r="402" spans="14:14" ht="15.75" customHeight="1" x14ac:dyDescent="0.2">
      <c r="N402" s="9"/>
    </row>
    <row r="403" spans="14:14" ht="15.75" customHeight="1" x14ac:dyDescent="0.2">
      <c r="N403" s="9"/>
    </row>
    <row r="404" spans="14:14" ht="15.75" customHeight="1" x14ac:dyDescent="0.2">
      <c r="N404" s="9"/>
    </row>
    <row r="405" spans="14:14" ht="15.75" customHeight="1" x14ac:dyDescent="0.2">
      <c r="N405" s="9"/>
    </row>
    <row r="406" spans="14:14" ht="15.75" customHeight="1" x14ac:dyDescent="0.2">
      <c r="N406" s="9"/>
    </row>
    <row r="407" spans="14:14" ht="15.75" customHeight="1" x14ac:dyDescent="0.2">
      <c r="N407" s="9"/>
    </row>
    <row r="408" spans="14:14" ht="15.75" customHeight="1" x14ac:dyDescent="0.2">
      <c r="N408" s="9"/>
    </row>
    <row r="409" spans="14:14" ht="15.75" customHeight="1" x14ac:dyDescent="0.2">
      <c r="N409" s="9"/>
    </row>
    <row r="410" spans="14:14" ht="15.75" customHeight="1" x14ac:dyDescent="0.2">
      <c r="N410" s="9"/>
    </row>
    <row r="411" spans="14:14" ht="15.75" customHeight="1" x14ac:dyDescent="0.2">
      <c r="N411" s="9"/>
    </row>
    <row r="412" spans="14:14" ht="15.75" customHeight="1" x14ac:dyDescent="0.2">
      <c r="N412" s="9"/>
    </row>
    <row r="413" spans="14:14" ht="15.75" customHeight="1" x14ac:dyDescent="0.2">
      <c r="N413" s="9"/>
    </row>
    <row r="414" spans="14:14" ht="15.75" customHeight="1" x14ac:dyDescent="0.2">
      <c r="N414" s="9"/>
    </row>
    <row r="415" spans="14:14" ht="15.75" customHeight="1" x14ac:dyDescent="0.2">
      <c r="N415" s="9"/>
    </row>
    <row r="416" spans="14:14" ht="15.75" customHeight="1" x14ac:dyDescent="0.2">
      <c r="N416" s="9"/>
    </row>
    <row r="417" spans="14:14" ht="15.75" customHeight="1" x14ac:dyDescent="0.2">
      <c r="N417" s="9"/>
    </row>
    <row r="418" spans="14:14" ht="15.75" customHeight="1" x14ac:dyDescent="0.2">
      <c r="N418" s="9"/>
    </row>
    <row r="419" spans="14:14" ht="15.75" customHeight="1" x14ac:dyDescent="0.2">
      <c r="N419" s="9"/>
    </row>
    <row r="420" spans="14:14" ht="15.75" customHeight="1" x14ac:dyDescent="0.2">
      <c r="N420" s="9"/>
    </row>
    <row r="421" spans="14:14" ht="15.75" customHeight="1" x14ac:dyDescent="0.2">
      <c r="N421" s="9"/>
    </row>
    <row r="422" spans="14:14" ht="15.75" customHeight="1" x14ac:dyDescent="0.2">
      <c r="N422" s="9"/>
    </row>
    <row r="423" spans="14:14" ht="15.75" customHeight="1" x14ac:dyDescent="0.2">
      <c r="N423" s="9"/>
    </row>
    <row r="424" spans="14:14" ht="15.75" customHeight="1" x14ac:dyDescent="0.2">
      <c r="N424" s="9"/>
    </row>
    <row r="425" spans="14:14" ht="15.75" customHeight="1" x14ac:dyDescent="0.2">
      <c r="N425" s="9"/>
    </row>
    <row r="426" spans="14:14" ht="15.75" customHeight="1" x14ac:dyDescent="0.2">
      <c r="N426" s="9"/>
    </row>
    <row r="427" spans="14:14" ht="15.75" customHeight="1" x14ac:dyDescent="0.2">
      <c r="N427" s="9"/>
    </row>
    <row r="428" spans="14:14" ht="15.75" customHeight="1" x14ac:dyDescent="0.2">
      <c r="N428" s="9"/>
    </row>
    <row r="429" spans="14:14" ht="15.75" customHeight="1" x14ac:dyDescent="0.2">
      <c r="N429" s="9"/>
    </row>
    <row r="430" spans="14:14" ht="15.75" customHeight="1" x14ac:dyDescent="0.2">
      <c r="N430" s="9"/>
    </row>
    <row r="431" spans="14:14" ht="15.75" customHeight="1" x14ac:dyDescent="0.2">
      <c r="N431" s="9"/>
    </row>
    <row r="432" spans="14:14" ht="15.75" customHeight="1" x14ac:dyDescent="0.2">
      <c r="N432" s="9"/>
    </row>
    <row r="433" spans="14:14" ht="15.75" customHeight="1" x14ac:dyDescent="0.2">
      <c r="N433" s="9"/>
    </row>
    <row r="434" spans="14:14" ht="15.75" customHeight="1" x14ac:dyDescent="0.2">
      <c r="N434" s="9"/>
    </row>
    <row r="435" spans="14:14" ht="15.75" customHeight="1" x14ac:dyDescent="0.2">
      <c r="N435" s="9"/>
    </row>
    <row r="436" spans="14:14" ht="15.75" customHeight="1" x14ac:dyDescent="0.2">
      <c r="N436" s="9"/>
    </row>
    <row r="437" spans="14:14" ht="15.75" customHeight="1" x14ac:dyDescent="0.2">
      <c r="N437" s="9"/>
    </row>
    <row r="438" spans="14:14" ht="15.75" customHeight="1" x14ac:dyDescent="0.2">
      <c r="N438" s="9"/>
    </row>
    <row r="439" spans="14:14" ht="15.75" customHeight="1" x14ac:dyDescent="0.2">
      <c r="N439" s="9"/>
    </row>
    <row r="440" spans="14:14" ht="15.75" customHeight="1" x14ac:dyDescent="0.2">
      <c r="N440" s="9"/>
    </row>
    <row r="441" spans="14:14" ht="15.75" customHeight="1" x14ac:dyDescent="0.2">
      <c r="N441" s="9"/>
    </row>
    <row r="442" spans="14:14" ht="15.75" customHeight="1" x14ac:dyDescent="0.2">
      <c r="N442" s="9"/>
    </row>
    <row r="443" spans="14:14" ht="15.75" customHeight="1" x14ac:dyDescent="0.2">
      <c r="N443" s="9"/>
    </row>
    <row r="444" spans="14:14" ht="15.75" customHeight="1" x14ac:dyDescent="0.2">
      <c r="N444" s="9"/>
    </row>
    <row r="445" spans="14:14" ht="15.75" customHeight="1" x14ac:dyDescent="0.2">
      <c r="N445" s="9"/>
    </row>
    <row r="446" spans="14:14" ht="15.75" customHeight="1" x14ac:dyDescent="0.2">
      <c r="N446" s="9"/>
    </row>
    <row r="447" spans="14:14" ht="15.75" customHeight="1" x14ac:dyDescent="0.2">
      <c r="N447" s="9"/>
    </row>
    <row r="448" spans="14:14" ht="15.75" customHeight="1" x14ac:dyDescent="0.2">
      <c r="N448" s="9"/>
    </row>
    <row r="449" spans="14:14" ht="15.75" customHeight="1" x14ac:dyDescent="0.2">
      <c r="N449" s="9"/>
    </row>
    <row r="450" spans="14:14" ht="15.75" customHeight="1" x14ac:dyDescent="0.2">
      <c r="N450" s="9"/>
    </row>
    <row r="451" spans="14:14" ht="15.75" customHeight="1" x14ac:dyDescent="0.2">
      <c r="N451" s="9"/>
    </row>
    <row r="452" spans="14:14" ht="15.75" customHeight="1" x14ac:dyDescent="0.2">
      <c r="N452" s="9"/>
    </row>
    <row r="453" spans="14:14" ht="15.75" customHeight="1" x14ac:dyDescent="0.2">
      <c r="N453" s="9"/>
    </row>
    <row r="454" spans="14:14" ht="15.75" customHeight="1" x14ac:dyDescent="0.2">
      <c r="N454" s="9"/>
    </row>
    <row r="455" spans="14:14" ht="15.75" customHeight="1" x14ac:dyDescent="0.2">
      <c r="N455" s="9"/>
    </row>
    <row r="456" spans="14:14" ht="15.75" customHeight="1" x14ac:dyDescent="0.2">
      <c r="N456" s="9"/>
    </row>
    <row r="457" spans="14:14" ht="15.75" customHeight="1" x14ac:dyDescent="0.2">
      <c r="N457" s="9"/>
    </row>
    <row r="458" spans="14:14" ht="15.75" customHeight="1" x14ac:dyDescent="0.2">
      <c r="N458" s="9"/>
    </row>
    <row r="459" spans="14:14" ht="15.75" customHeight="1" x14ac:dyDescent="0.2">
      <c r="N459" s="9"/>
    </row>
    <row r="460" spans="14:14" ht="15.75" customHeight="1" x14ac:dyDescent="0.2">
      <c r="N460" s="9"/>
    </row>
    <row r="461" spans="14:14" ht="15.75" customHeight="1" x14ac:dyDescent="0.2">
      <c r="N461" s="9"/>
    </row>
    <row r="462" spans="14:14" ht="15.75" customHeight="1" x14ac:dyDescent="0.2">
      <c r="N462" s="9"/>
    </row>
    <row r="463" spans="14:14" ht="15.75" customHeight="1" x14ac:dyDescent="0.2">
      <c r="N463" s="9"/>
    </row>
    <row r="464" spans="14:14" ht="15.75" customHeight="1" x14ac:dyDescent="0.2">
      <c r="N464" s="9"/>
    </row>
    <row r="465" spans="14:14" ht="15.75" customHeight="1" x14ac:dyDescent="0.2">
      <c r="N465" s="9"/>
    </row>
    <row r="466" spans="14:14" ht="15.75" customHeight="1" x14ac:dyDescent="0.2">
      <c r="N466" s="9"/>
    </row>
    <row r="467" spans="14:14" ht="15.75" customHeight="1" x14ac:dyDescent="0.2">
      <c r="N467" s="9"/>
    </row>
    <row r="468" spans="14:14" ht="15.75" customHeight="1" x14ac:dyDescent="0.2">
      <c r="N468" s="9"/>
    </row>
    <row r="469" spans="14:14" ht="15.75" customHeight="1" x14ac:dyDescent="0.2">
      <c r="N469" s="9"/>
    </row>
    <row r="470" spans="14:14" ht="15.75" customHeight="1" x14ac:dyDescent="0.2">
      <c r="N470" s="9"/>
    </row>
    <row r="471" spans="14:14" ht="15.75" customHeight="1" x14ac:dyDescent="0.2">
      <c r="N471" s="9"/>
    </row>
    <row r="472" spans="14:14" ht="15.75" customHeight="1" x14ac:dyDescent="0.2">
      <c r="N472" s="9"/>
    </row>
    <row r="473" spans="14:14" ht="15.75" customHeight="1" x14ac:dyDescent="0.2">
      <c r="N473" s="9"/>
    </row>
    <row r="474" spans="14:14" ht="15.75" customHeight="1" x14ac:dyDescent="0.2">
      <c r="N474" s="9"/>
    </row>
    <row r="475" spans="14:14" ht="15.75" customHeight="1" x14ac:dyDescent="0.2">
      <c r="N475" s="9"/>
    </row>
    <row r="476" spans="14:14" ht="15.75" customHeight="1" x14ac:dyDescent="0.2">
      <c r="N476" s="9"/>
    </row>
    <row r="477" spans="14:14" ht="15.75" customHeight="1" x14ac:dyDescent="0.2">
      <c r="N477" s="9"/>
    </row>
    <row r="478" spans="14:14" ht="15.75" customHeight="1" x14ac:dyDescent="0.2">
      <c r="N478" s="9"/>
    </row>
    <row r="479" spans="14:14" ht="15.75" customHeight="1" x14ac:dyDescent="0.2">
      <c r="N479" s="9"/>
    </row>
    <row r="480" spans="14:14" ht="15.75" customHeight="1" x14ac:dyDescent="0.2">
      <c r="N480" s="9"/>
    </row>
    <row r="481" spans="14:14" ht="15.75" customHeight="1" x14ac:dyDescent="0.2">
      <c r="N481" s="9"/>
    </row>
    <row r="482" spans="14:14" ht="15.75" customHeight="1" x14ac:dyDescent="0.2">
      <c r="N482" s="9"/>
    </row>
    <row r="483" spans="14:14" ht="15.75" customHeight="1" x14ac:dyDescent="0.2">
      <c r="N483" s="9"/>
    </row>
    <row r="484" spans="14:14" ht="15.75" customHeight="1" x14ac:dyDescent="0.2">
      <c r="N484" s="9"/>
    </row>
    <row r="485" spans="14:14" ht="15.75" customHeight="1" x14ac:dyDescent="0.2">
      <c r="N485" s="9"/>
    </row>
    <row r="486" spans="14:14" ht="15.75" customHeight="1" x14ac:dyDescent="0.2">
      <c r="N486" s="9"/>
    </row>
    <row r="487" spans="14:14" ht="15.75" customHeight="1" x14ac:dyDescent="0.2">
      <c r="N487" s="9"/>
    </row>
    <row r="488" spans="14:14" ht="15.75" customHeight="1" x14ac:dyDescent="0.2">
      <c r="N488" s="9"/>
    </row>
    <row r="489" spans="14:14" ht="15.75" customHeight="1" x14ac:dyDescent="0.2">
      <c r="N489" s="9"/>
    </row>
    <row r="490" spans="14:14" ht="15.75" customHeight="1" x14ac:dyDescent="0.2">
      <c r="N490" s="9"/>
    </row>
    <row r="491" spans="14:14" ht="15.75" customHeight="1" x14ac:dyDescent="0.2">
      <c r="N491" s="9"/>
    </row>
    <row r="492" spans="14:14" ht="15.75" customHeight="1" x14ac:dyDescent="0.2">
      <c r="N492" s="9"/>
    </row>
    <row r="493" spans="14:14" ht="15.75" customHeight="1" x14ac:dyDescent="0.2">
      <c r="N493" s="9"/>
    </row>
    <row r="494" spans="14:14" ht="15.75" customHeight="1" x14ac:dyDescent="0.2">
      <c r="N494" s="9"/>
    </row>
    <row r="495" spans="14:14" ht="15.75" customHeight="1" x14ac:dyDescent="0.2">
      <c r="N495" s="9"/>
    </row>
    <row r="496" spans="14:14" ht="15.75" customHeight="1" x14ac:dyDescent="0.2">
      <c r="N496" s="9"/>
    </row>
    <row r="497" spans="14:14" ht="15.75" customHeight="1" x14ac:dyDescent="0.2">
      <c r="N497" s="9"/>
    </row>
    <row r="498" spans="14:14" ht="15.75" customHeight="1" x14ac:dyDescent="0.2">
      <c r="N498" s="9"/>
    </row>
    <row r="499" spans="14:14" ht="15.75" customHeight="1" x14ac:dyDescent="0.2">
      <c r="N499" s="9"/>
    </row>
    <row r="500" spans="14:14" ht="15.75" customHeight="1" x14ac:dyDescent="0.2">
      <c r="N500" s="9"/>
    </row>
    <row r="501" spans="14:14" ht="15.75" customHeight="1" x14ac:dyDescent="0.2">
      <c r="N501" s="9"/>
    </row>
    <row r="502" spans="14:14" ht="15.75" customHeight="1" x14ac:dyDescent="0.2">
      <c r="N502" s="9"/>
    </row>
    <row r="503" spans="14:14" ht="15.75" customHeight="1" x14ac:dyDescent="0.2">
      <c r="N503" s="9"/>
    </row>
    <row r="504" spans="14:14" ht="15.75" customHeight="1" x14ac:dyDescent="0.2">
      <c r="N504" s="9"/>
    </row>
    <row r="505" spans="14:14" ht="15.75" customHeight="1" x14ac:dyDescent="0.2">
      <c r="N505" s="9"/>
    </row>
    <row r="506" spans="14:14" ht="15.75" customHeight="1" x14ac:dyDescent="0.2">
      <c r="N506" s="9"/>
    </row>
    <row r="507" spans="14:14" ht="15.75" customHeight="1" x14ac:dyDescent="0.2">
      <c r="N507" s="9"/>
    </row>
    <row r="508" spans="14:14" ht="15.75" customHeight="1" x14ac:dyDescent="0.2">
      <c r="N508" s="9"/>
    </row>
    <row r="509" spans="14:14" ht="15.75" customHeight="1" x14ac:dyDescent="0.2">
      <c r="N509" s="9"/>
    </row>
    <row r="510" spans="14:14" ht="15.75" customHeight="1" x14ac:dyDescent="0.2">
      <c r="N510" s="9"/>
    </row>
    <row r="511" spans="14:14" ht="15.75" customHeight="1" x14ac:dyDescent="0.2">
      <c r="N511" s="9"/>
    </row>
    <row r="512" spans="14:14" ht="15.75" customHeight="1" x14ac:dyDescent="0.2">
      <c r="N512" s="9"/>
    </row>
    <row r="513" spans="14:14" ht="15.75" customHeight="1" x14ac:dyDescent="0.2">
      <c r="N513" s="9"/>
    </row>
    <row r="514" spans="14:14" ht="15.75" customHeight="1" x14ac:dyDescent="0.2">
      <c r="N514" s="9"/>
    </row>
    <row r="515" spans="14:14" ht="15.75" customHeight="1" x14ac:dyDescent="0.2">
      <c r="N515" s="9"/>
    </row>
    <row r="516" spans="14:14" ht="15.75" customHeight="1" x14ac:dyDescent="0.2">
      <c r="N516" s="9"/>
    </row>
    <row r="517" spans="14:14" ht="15.75" customHeight="1" x14ac:dyDescent="0.2">
      <c r="N517" s="9"/>
    </row>
    <row r="518" spans="14:14" ht="15.75" customHeight="1" x14ac:dyDescent="0.2">
      <c r="N518" s="9"/>
    </row>
    <row r="519" spans="14:14" ht="15.75" customHeight="1" x14ac:dyDescent="0.2">
      <c r="N519" s="9"/>
    </row>
    <row r="520" spans="14:14" ht="15.75" customHeight="1" x14ac:dyDescent="0.2">
      <c r="N520" s="9"/>
    </row>
    <row r="521" spans="14:14" ht="15.75" customHeight="1" x14ac:dyDescent="0.2">
      <c r="N521" s="9"/>
    </row>
    <row r="522" spans="14:14" ht="15.75" customHeight="1" x14ac:dyDescent="0.2">
      <c r="N522" s="9"/>
    </row>
    <row r="523" spans="14:14" ht="15.75" customHeight="1" x14ac:dyDescent="0.2">
      <c r="N523" s="9"/>
    </row>
    <row r="524" spans="14:14" ht="15.75" customHeight="1" x14ac:dyDescent="0.2">
      <c r="N524" s="9"/>
    </row>
    <row r="525" spans="14:14" ht="15.75" customHeight="1" x14ac:dyDescent="0.2">
      <c r="N525" s="9"/>
    </row>
    <row r="526" spans="14:14" ht="15.75" customHeight="1" x14ac:dyDescent="0.2">
      <c r="N526" s="9"/>
    </row>
    <row r="527" spans="14:14" ht="15.75" customHeight="1" x14ac:dyDescent="0.2">
      <c r="N527" s="9"/>
    </row>
    <row r="528" spans="14:14" ht="15.75" customHeight="1" x14ac:dyDescent="0.2">
      <c r="N528" s="9"/>
    </row>
    <row r="529" spans="14:14" ht="15.75" customHeight="1" x14ac:dyDescent="0.2">
      <c r="N529" s="9"/>
    </row>
    <row r="530" spans="14:14" ht="15.75" customHeight="1" x14ac:dyDescent="0.2">
      <c r="N530" s="9"/>
    </row>
    <row r="531" spans="14:14" ht="15.75" customHeight="1" x14ac:dyDescent="0.2">
      <c r="N531" s="9"/>
    </row>
    <row r="532" spans="14:14" ht="15.75" customHeight="1" x14ac:dyDescent="0.2">
      <c r="N532" s="9"/>
    </row>
    <row r="533" spans="14:14" ht="15.75" customHeight="1" x14ac:dyDescent="0.2">
      <c r="N533" s="9"/>
    </row>
    <row r="534" spans="14:14" ht="15.75" customHeight="1" x14ac:dyDescent="0.2">
      <c r="N534" s="9"/>
    </row>
    <row r="535" spans="14:14" ht="15.75" customHeight="1" x14ac:dyDescent="0.2">
      <c r="N535" s="9"/>
    </row>
    <row r="536" spans="14:14" ht="15.75" customHeight="1" x14ac:dyDescent="0.2">
      <c r="N536" s="9"/>
    </row>
    <row r="537" spans="14:14" ht="15.75" customHeight="1" x14ac:dyDescent="0.2">
      <c r="N537" s="9"/>
    </row>
    <row r="538" spans="14:14" ht="15.75" customHeight="1" x14ac:dyDescent="0.2">
      <c r="N538" s="9"/>
    </row>
    <row r="539" spans="14:14" ht="15.75" customHeight="1" x14ac:dyDescent="0.2">
      <c r="N539" s="9"/>
    </row>
    <row r="540" spans="14:14" ht="15.75" customHeight="1" x14ac:dyDescent="0.2">
      <c r="N540" s="9"/>
    </row>
    <row r="541" spans="14:14" ht="15.75" customHeight="1" x14ac:dyDescent="0.2">
      <c r="N541" s="9"/>
    </row>
    <row r="542" spans="14:14" ht="15.75" customHeight="1" x14ac:dyDescent="0.2">
      <c r="N542" s="9"/>
    </row>
    <row r="543" spans="14:14" ht="15.75" customHeight="1" x14ac:dyDescent="0.2">
      <c r="N543" s="9"/>
    </row>
    <row r="544" spans="14:14" ht="15.75" customHeight="1" x14ac:dyDescent="0.2">
      <c r="N544" s="9"/>
    </row>
    <row r="545" spans="14:14" ht="15.75" customHeight="1" x14ac:dyDescent="0.2">
      <c r="N545" s="9"/>
    </row>
    <row r="546" spans="14:14" ht="15.75" customHeight="1" x14ac:dyDescent="0.2">
      <c r="N546" s="9"/>
    </row>
    <row r="547" spans="14:14" ht="15.75" customHeight="1" x14ac:dyDescent="0.2">
      <c r="N547" s="9"/>
    </row>
    <row r="548" spans="14:14" ht="15.75" customHeight="1" x14ac:dyDescent="0.2">
      <c r="N548" s="9"/>
    </row>
    <row r="549" spans="14:14" ht="15.75" customHeight="1" x14ac:dyDescent="0.2">
      <c r="N549" s="9"/>
    </row>
    <row r="550" spans="14:14" ht="15.75" customHeight="1" x14ac:dyDescent="0.2">
      <c r="N550" s="9"/>
    </row>
    <row r="551" spans="14:14" ht="15.75" customHeight="1" x14ac:dyDescent="0.2">
      <c r="N551" s="9"/>
    </row>
    <row r="552" spans="14:14" ht="15.75" customHeight="1" x14ac:dyDescent="0.2">
      <c r="N552" s="9"/>
    </row>
    <row r="553" spans="14:14" ht="15.75" customHeight="1" x14ac:dyDescent="0.2">
      <c r="N553" s="9"/>
    </row>
    <row r="554" spans="14:14" ht="15.75" customHeight="1" x14ac:dyDescent="0.2">
      <c r="N554" s="9"/>
    </row>
    <row r="555" spans="14:14" ht="15.75" customHeight="1" x14ac:dyDescent="0.2">
      <c r="N555" s="9"/>
    </row>
    <row r="556" spans="14:14" ht="15.75" customHeight="1" x14ac:dyDescent="0.2">
      <c r="N556" s="9"/>
    </row>
    <row r="557" spans="14:14" ht="15.75" customHeight="1" x14ac:dyDescent="0.2">
      <c r="N557" s="9"/>
    </row>
    <row r="558" spans="14:14" ht="15.75" customHeight="1" x14ac:dyDescent="0.2">
      <c r="N558" s="9"/>
    </row>
    <row r="559" spans="14:14" ht="15.75" customHeight="1" x14ac:dyDescent="0.2">
      <c r="N559" s="9"/>
    </row>
    <row r="560" spans="14:14" ht="15.75" customHeight="1" x14ac:dyDescent="0.2">
      <c r="N560" s="9"/>
    </row>
    <row r="561" spans="14:14" ht="15.75" customHeight="1" x14ac:dyDescent="0.2">
      <c r="N561" s="9"/>
    </row>
    <row r="562" spans="14:14" ht="15.75" customHeight="1" x14ac:dyDescent="0.2">
      <c r="N562" s="9"/>
    </row>
    <row r="563" spans="14:14" ht="15.75" customHeight="1" x14ac:dyDescent="0.2">
      <c r="N563" s="9"/>
    </row>
    <row r="564" spans="14:14" ht="15.75" customHeight="1" x14ac:dyDescent="0.2">
      <c r="N564" s="9"/>
    </row>
    <row r="565" spans="14:14" ht="15.75" customHeight="1" x14ac:dyDescent="0.2">
      <c r="N565" s="9"/>
    </row>
    <row r="566" spans="14:14" ht="15.75" customHeight="1" x14ac:dyDescent="0.2">
      <c r="N566" s="9"/>
    </row>
    <row r="567" spans="14:14" ht="15.75" customHeight="1" x14ac:dyDescent="0.2">
      <c r="N567" s="9"/>
    </row>
    <row r="568" spans="14:14" ht="15.75" customHeight="1" x14ac:dyDescent="0.2">
      <c r="N568" s="9"/>
    </row>
    <row r="569" spans="14:14" ht="15.75" customHeight="1" x14ac:dyDescent="0.2">
      <c r="N569" s="9"/>
    </row>
    <row r="570" spans="14:14" ht="15.75" customHeight="1" x14ac:dyDescent="0.2">
      <c r="N570" s="9"/>
    </row>
    <row r="571" spans="14:14" ht="15.75" customHeight="1" x14ac:dyDescent="0.2">
      <c r="N571" s="9"/>
    </row>
    <row r="572" spans="14:14" ht="15.75" customHeight="1" x14ac:dyDescent="0.2">
      <c r="N572" s="9"/>
    </row>
    <row r="573" spans="14:14" ht="15.75" customHeight="1" x14ac:dyDescent="0.2">
      <c r="N573" s="9"/>
    </row>
    <row r="574" spans="14:14" ht="15.75" customHeight="1" x14ac:dyDescent="0.2">
      <c r="N574" s="9"/>
    </row>
    <row r="575" spans="14:14" ht="15.75" customHeight="1" x14ac:dyDescent="0.2">
      <c r="N575" s="9"/>
    </row>
    <row r="576" spans="14:14" ht="15.75" customHeight="1" x14ac:dyDescent="0.2">
      <c r="N576" s="9"/>
    </row>
    <row r="577" spans="14:14" ht="15.75" customHeight="1" x14ac:dyDescent="0.2">
      <c r="N577" s="9"/>
    </row>
    <row r="578" spans="14:14" ht="15.75" customHeight="1" x14ac:dyDescent="0.2">
      <c r="N578" s="9"/>
    </row>
    <row r="579" spans="14:14" ht="15.75" customHeight="1" x14ac:dyDescent="0.2">
      <c r="N579" s="9"/>
    </row>
    <row r="580" spans="14:14" ht="15.75" customHeight="1" x14ac:dyDescent="0.2">
      <c r="N580" s="9"/>
    </row>
    <row r="581" spans="14:14" ht="15.75" customHeight="1" x14ac:dyDescent="0.2">
      <c r="N581" s="9"/>
    </row>
    <row r="582" spans="14:14" ht="15.75" customHeight="1" x14ac:dyDescent="0.2">
      <c r="N582" s="9"/>
    </row>
    <row r="583" spans="14:14" ht="15.75" customHeight="1" x14ac:dyDescent="0.2">
      <c r="N583" s="9"/>
    </row>
    <row r="584" spans="14:14" ht="15.75" customHeight="1" x14ac:dyDescent="0.2">
      <c r="N584" s="9"/>
    </row>
    <row r="585" spans="14:14" ht="15.75" customHeight="1" x14ac:dyDescent="0.2">
      <c r="N585" s="9"/>
    </row>
    <row r="586" spans="14:14" ht="15.75" customHeight="1" x14ac:dyDescent="0.2">
      <c r="N586" s="9"/>
    </row>
    <row r="587" spans="14:14" ht="15.75" customHeight="1" x14ac:dyDescent="0.2">
      <c r="N587" s="9"/>
    </row>
    <row r="588" spans="14:14" ht="15.75" customHeight="1" x14ac:dyDescent="0.2">
      <c r="N588" s="9"/>
    </row>
    <row r="589" spans="14:14" ht="15.75" customHeight="1" x14ac:dyDescent="0.2">
      <c r="N589" s="9"/>
    </row>
    <row r="590" spans="14:14" ht="15.75" customHeight="1" x14ac:dyDescent="0.2">
      <c r="N590" s="9"/>
    </row>
    <row r="591" spans="14:14" ht="15.75" customHeight="1" x14ac:dyDescent="0.2">
      <c r="N591" s="9"/>
    </row>
    <row r="592" spans="14:14" ht="15.75" customHeight="1" x14ac:dyDescent="0.2">
      <c r="N592" s="9"/>
    </row>
    <row r="593" spans="14:14" ht="15.75" customHeight="1" x14ac:dyDescent="0.2">
      <c r="N593" s="9"/>
    </row>
    <row r="594" spans="14:14" ht="15.75" customHeight="1" x14ac:dyDescent="0.2">
      <c r="N594" s="9"/>
    </row>
    <row r="595" spans="14:14" ht="15.75" customHeight="1" x14ac:dyDescent="0.2">
      <c r="N595" s="9"/>
    </row>
    <row r="596" spans="14:14" ht="15.75" customHeight="1" x14ac:dyDescent="0.2">
      <c r="N596" s="9"/>
    </row>
    <row r="597" spans="14:14" ht="15.75" customHeight="1" x14ac:dyDescent="0.2">
      <c r="N597" s="9"/>
    </row>
    <row r="598" spans="14:14" ht="15.75" customHeight="1" x14ac:dyDescent="0.2">
      <c r="N598" s="9"/>
    </row>
    <row r="599" spans="14:14" ht="15.75" customHeight="1" x14ac:dyDescent="0.2">
      <c r="N599" s="9"/>
    </row>
    <row r="600" spans="14:14" ht="15.75" customHeight="1" x14ac:dyDescent="0.2">
      <c r="N600" s="9"/>
    </row>
    <row r="601" spans="14:14" ht="15.75" customHeight="1" x14ac:dyDescent="0.2">
      <c r="N601" s="9"/>
    </row>
    <row r="602" spans="14:14" ht="15.75" customHeight="1" x14ac:dyDescent="0.2">
      <c r="N602" s="9"/>
    </row>
    <row r="603" spans="14:14" ht="15.75" customHeight="1" x14ac:dyDescent="0.2">
      <c r="N603" s="9"/>
    </row>
    <row r="604" spans="14:14" ht="15.75" customHeight="1" x14ac:dyDescent="0.2">
      <c r="N604" s="9"/>
    </row>
    <row r="605" spans="14:14" ht="15.75" customHeight="1" x14ac:dyDescent="0.2">
      <c r="N605" s="9"/>
    </row>
    <row r="606" spans="14:14" ht="15.75" customHeight="1" x14ac:dyDescent="0.2">
      <c r="N606" s="9"/>
    </row>
    <row r="607" spans="14:14" ht="15.75" customHeight="1" x14ac:dyDescent="0.2">
      <c r="N607" s="9"/>
    </row>
    <row r="608" spans="14:14" ht="15.75" customHeight="1" x14ac:dyDescent="0.2">
      <c r="N608" s="9"/>
    </row>
    <row r="609" spans="14:14" ht="15.75" customHeight="1" x14ac:dyDescent="0.2">
      <c r="N609" s="9"/>
    </row>
    <row r="610" spans="14:14" ht="15.75" customHeight="1" x14ac:dyDescent="0.2">
      <c r="N610" s="9"/>
    </row>
    <row r="611" spans="14:14" ht="15.75" customHeight="1" x14ac:dyDescent="0.2">
      <c r="N611" s="9"/>
    </row>
    <row r="612" spans="14:14" ht="15.75" customHeight="1" x14ac:dyDescent="0.2">
      <c r="N612" s="9"/>
    </row>
    <row r="613" spans="14:14" ht="15.75" customHeight="1" x14ac:dyDescent="0.2">
      <c r="N613" s="9"/>
    </row>
    <row r="614" spans="14:14" ht="15.75" customHeight="1" x14ac:dyDescent="0.2">
      <c r="N614" s="9"/>
    </row>
    <row r="615" spans="14:14" ht="15.75" customHeight="1" x14ac:dyDescent="0.2">
      <c r="N615" s="9"/>
    </row>
    <row r="616" spans="14:14" ht="15.75" customHeight="1" x14ac:dyDescent="0.2">
      <c r="N616" s="9"/>
    </row>
    <row r="617" spans="14:14" ht="15.75" customHeight="1" x14ac:dyDescent="0.2">
      <c r="N617" s="9"/>
    </row>
    <row r="618" spans="14:14" ht="15.75" customHeight="1" x14ac:dyDescent="0.2">
      <c r="N618" s="9"/>
    </row>
    <row r="619" spans="14:14" ht="15.75" customHeight="1" x14ac:dyDescent="0.2">
      <c r="N619" s="9"/>
    </row>
    <row r="620" spans="14:14" ht="15.75" customHeight="1" x14ac:dyDescent="0.2">
      <c r="N620" s="9"/>
    </row>
    <row r="621" spans="14:14" ht="15.75" customHeight="1" x14ac:dyDescent="0.2">
      <c r="N621" s="9"/>
    </row>
    <row r="622" spans="14:14" ht="15.75" customHeight="1" x14ac:dyDescent="0.2">
      <c r="N622" s="9"/>
    </row>
    <row r="623" spans="14:14" ht="15.75" customHeight="1" x14ac:dyDescent="0.2">
      <c r="N623" s="9"/>
    </row>
    <row r="624" spans="14:14" ht="15.75" customHeight="1" x14ac:dyDescent="0.2">
      <c r="N624" s="9"/>
    </row>
    <row r="625" spans="14:14" ht="15.75" customHeight="1" x14ac:dyDescent="0.2">
      <c r="N625" s="9"/>
    </row>
    <row r="626" spans="14:14" ht="15.75" customHeight="1" x14ac:dyDescent="0.2">
      <c r="N626" s="9"/>
    </row>
    <row r="627" spans="14:14" ht="15.75" customHeight="1" x14ac:dyDescent="0.2">
      <c r="N627" s="9"/>
    </row>
    <row r="628" spans="14:14" ht="15.75" customHeight="1" x14ac:dyDescent="0.2">
      <c r="N628" s="9"/>
    </row>
    <row r="629" spans="14:14" ht="15.75" customHeight="1" x14ac:dyDescent="0.2">
      <c r="N629" s="9"/>
    </row>
    <row r="630" spans="14:14" ht="15.75" customHeight="1" x14ac:dyDescent="0.2">
      <c r="N630" s="9"/>
    </row>
    <row r="631" spans="14:14" ht="15.75" customHeight="1" x14ac:dyDescent="0.2">
      <c r="N631" s="9"/>
    </row>
    <row r="632" spans="14:14" ht="15.75" customHeight="1" x14ac:dyDescent="0.2">
      <c r="N632" s="9"/>
    </row>
    <row r="633" spans="14:14" ht="15.75" customHeight="1" x14ac:dyDescent="0.2">
      <c r="N633" s="9"/>
    </row>
    <row r="634" spans="14:14" ht="15.75" customHeight="1" x14ac:dyDescent="0.2">
      <c r="N634" s="9"/>
    </row>
    <row r="635" spans="14:14" ht="15.75" customHeight="1" x14ac:dyDescent="0.2">
      <c r="N635" s="9"/>
    </row>
    <row r="636" spans="14:14" ht="15.75" customHeight="1" x14ac:dyDescent="0.2">
      <c r="N636" s="9"/>
    </row>
    <row r="637" spans="14:14" ht="15.75" customHeight="1" x14ac:dyDescent="0.2">
      <c r="N637" s="9"/>
    </row>
    <row r="638" spans="14:14" ht="15.75" customHeight="1" x14ac:dyDescent="0.2">
      <c r="N638" s="9"/>
    </row>
    <row r="639" spans="14:14" ht="15.75" customHeight="1" x14ac:dyDescent="0.2">
      <c r="N639" s="9"/>
    </row>
    <row r="640" spans="14:14" ht="15.75" customHeight="1" x14ac:dyDescent="0.2">
      <c r="N640" s="9"/>
    </row>
    <row r="641" spans="14:14" ht="15.75" customHeight="1" x14ac:dyDescent="0.2">
      <c r="N641" s="9"/>
    </row>
    <row r="642" spans="14:14" ht="15.75" customHeight="1" x14ac:dyDescent="0.2">
      <c r="N642" s="9"/>
    </row>
    <row r="643" spans="14:14" ht="15.75" customHeight="1" x14ac:dyDescent="0.2">
      <c r="N643" s="9"/>
    </row>
    <row r="644" spans="14:14" ht="15.75" customHeight="1" x14ac:dyDescent="0.2">
      <c r="N644" s="9"/>
    </row>
    <row r="645" spans="14:14" ht="15.75" customHeight="1" x14ac:dyDescent="0.2">
      <c r="N645" s="9"/>
    </row>
    <row r="646" spans="14:14" ht="15.75" customHeight="1" x14ac:dyDescent="0.2">
      <c r="N646" s="9"/>
    </row>
    <row r="647" spans="14:14" ht="15.75" customHeight="1" x14ac:dyDescent="0.2">
      <c r="N647" s="9"/>
    </row>
    <row r="648" spans="14:14" ht="15.75" customHeight="1" x14ac:dyDescent="0.2">
      <c r="N648" s="9"/>
    </row>
    <row r="649" spans="14:14" ht="15.75" customHeight="1" x14ac:dyDescent="0.2">
      <c r="N649" s="9"/>
    </row>
    <row r="650" spans="14:14" ht="15.75" customHeight="1" x14ac:dyDescent="0.2">
      <c r="N650" s="9"/>
    </row>
    <row r="651" spans="14:14" ht="15.75" customHeight="1" x14ac:dyDescent="0.2">
      <c r="N651" s="9"/>
    </row>
    <row r="652" spans="14:14" ht="15.75" customHeight="1" x14ac:dyDescent="0.2">
      <c r="N652" s="9"/>
    </row>
    <row r="653" spans="14:14" ht="15.75" customHeight="1" x14ac:dyDescent="0.2">
      <c r="N653" s="9"/>
    </row>
    <row r="654" spans="14:14" ht="15.75" customHeight="1" x14ac:dyDescent="0.2">
      <c r="N654" s="9"/>
    </row>
    <row r="655" spans="14:14" ht="15.75" customHeight="1" x14ac:dyDescent="0.2">
      <c r="N655" s="9"/>
    </row>
    <row r="656" spans="14:14" ht="15.75" customHeight="1" x14ac:dyDescent="0.2">
      <c r="N656" s="9"/>
    </row>
    <row r="657" spans="14:14" ht="15.75" customHeight="1" x14ac:dyDescent="0.2">
      <c r="N657" s="9"/>
    </row>
    <row r="658" spans="14:14" ht="15.75" customHeight="1" x14ac:dyDescent="0.2">
      <c r="N658" s="9"/>
    </row>
    <row r="659" spans="14:14" ht="15.75" customHeight="1" x14ac:dyDescent="0.2">
      <c r="N659" s="9"/>
    </row>
    <row r="660" spans="14:14" ht="15.75" customHeight="1" x14ac:dyDescent="0.2">
      <c r="N660" s="9"/>
    </row>
    <row r="661" spans="14:14" ht="15.75" customHeight="1" x14ac:dyDescent="0.2">
      <c r="N661" s="9"/>
    </row>
    <row r="662" spans="14:14" ht="15.75" customHeight="1" x14ac:dyDescent="0.2">
      <c r="N662" s="9"/>
    </row>
    <row r="663" spans="14:14" ht="15.75" customHeight="1" x14ac:dyDescent="0.2">
      <c r="N663" s="9"/>
    </row>
    <row r="664" spans="14:14" ht="15.75" customHeight="1" x14ac:dyDescent="0.2">
      <c r="N664" s="9"/>
    </row>
    <row r="665" spans="14:14" ht="15.75" customHeight="1" x14ac:dyDescent="0.2">
      <c r="N665" s="9"/>
    </row>
    <row r="666" spans="14:14" ht="15.75" customHeight="1" x14ac:dyDescent="0.2">
      <c r="N666" s="9"/>
    </row>
    <row r="667" spans="14:14" ht="15.75" customHeight="1" x14ac:dyDescent="0.2">
      <c r="N667" s="9"/>
    </row>
    <row r="668" spans="14:14" ht="15.75" customHeight="1" x14ac:dyDescent="0.2">
      <c r="N668" s="9"/>
    </row>
    <row r="669" spans="14:14" ht="15.75" customHeight="1" x14ac:dyDescent="0.2">
      <c r="N669" s="9"/>
    </row>
    <row r="670" spans="14:14" ht="15.75" customHeight="1" x14ac:dyDescent="0.2">
      <c r="N670" s="9"/>
    </row>
    <row r="671" spans="14:14" ht="15.75" customHeight="1" x14ac:dyDescent="0.2">
      <c r="N671" s="9"/>
    </row>
    <row r="672" spans="14:14" ht="15.75" customHeight="1" x14ac:dyDescent="0.2">
      <c r="N672" s="9"/>
    </row>
    <row r="673" spans="14:14" ht="15.75" customHeight="1" x14ac:dyDescent="0.2">
      <c r="N673" s="9"/>
    </row>
    <row r="674" spans="14:14" ht="15.75" customHeight="1" x14ac:dyDescent="0.2">
      <c r="N674" s="9"/>
    </row>
    <row r="675" spans="14:14" ht="15.75" customHeight="1" x14ac:dyDescent="0.2">
      <c r="N675" s="9"/>
    </row>
    <row r="676" spans="14:14" ht="15.75" customHeight="1" x14ac:dyDescent="0.2">
      <c r="N676" s="9"/>
    </row>
    <row r="677" spans="14:14" ht="15.75" customHeight="1" x14ac:dyDescent="0.2">
      <c r="N677" s="9"/>
    </row>
    <row r="678" spans="14:14" ht="15.75" customHeight="1" x14ac:dyDescent="0.2">
      <c r="N678" s="9"/>
    </row>
    <row r="679" spans="14:14" ht="15.75" customHeight="1" x14ac:dyDescent="0.2">
      <c r="N679" s="9"/>
    </row>
    <row r="680" spans="14:14" ht="15.75" customHeight="1" x14ac:dyDescent="0.2">
      <c r="N680" s="9"/>
    </row>
    <row r="681" spans="14:14" ht="15.75" customHeight="1" x14ac:dyDescent="0.2">
      <c r="N681" s="9"/>
    </row>
    <row r="682" spans="14:14" ht="15.75" customHeight="1" x14ac:dyDescent="0.2">
      <c r="N682" s="9"/>
    </row>
    <row r="683" spans="14:14" ht="15.75" customHeight="1" x14ac:dyDescent="0.2">
      <c r="N683" s="9"/>
    </row>
    <row r="684" spans="14:14" ht="15.75" customHeight="1" x14ac:dyDescent="0.2">
      <c r="N684" s="9"/>
    </row>
    <row r="685" spans="14:14" ht="15.75" customHeight="1" x14ac:dyDescent="0.2">
      <c r="N685" s="9"/>
    </row>
    <row r="686" spans="14:14" ht="15.75" customHeight="1" x14ac:dyDescent="0.2">
      <c r="N686" s="9"/>
    </row>
    <row r="687" spans="14:14" ht="15.75" customHeight="1" x14ac:dyDescent="0.2">
      <c r="N687" s="9"/>
    </row>
    <row r="688" spans="14:14" ht="15.75" customHeight="1" x14ac:dyDescent="0.2">
      <c r="N688" s="9"/>
    </row>
    <row r="689" spans="14:14" ht="15.75" customHeight="1" x14ac:dyDescent="0.2">
      <c r="N689" s="9"/>
    </row>
    <row r="690" spans="14:14" ht="15.75" customHeight="1" x14ac:dyDescent="0.2">
      <c r="N690" s="9"/>
    </row>
    <row r="691" spans="14:14" ht="15.75" customHeight="1" x14ac:dyDescent="0.2">
      <c r="N691" s="9"/>
    </row>
    <row r="692" spans="14:14" ht="15.75" customHeight="1" x14ac:dyDescent="0.2">
      <c r="N692" s="9"/>
    </row>
    <row r="693" spans="14:14" ht="15.75" customHeight="1" x14ac:dyDescent="0.2">
      <c r="N693" s="9"/>
    </row>
    <row r="694" spans="14:14" ht="15.75" customHeight="1" x14ac:dyDescent="0.2">
      <c r="N694" s="9"/>
    </row>
    <row r="695" spans="14:14" ht="15.75" customHeight="1" x14ac:dyDescent="0.2">
      <c r="N695" s="9"/>
    </row>
    <row r="696" spans="14:14" ht="15.75" customHeight="1" x14ac:dyDescent="0.2">
      <c r="N696" s="9"/>
    </row>
    <row r="697" spans="14:14" ht="15.75" customHeight="1" x14ac:dyDescent="0.2">
      <c r="N697" s="9"/>
    </row>
    <row r="698" spans="14:14" ht="15.75" customHeight="1" x14ac:dyDescent="0.2">
      <c r="N698" s="9"/>
    </row>
    <row r="699" spans="14:14" ht="15.75" customHeight="1" x14ac:dyDescent="0.2">
      <c r="N699" s="9"/>
    </row>
    <row r="700" spans="14:14" ht="15.75" customHeight="1" x14ac:dyDescent="0.2">
      <c r="N700" s="9"/>
    </row>
    <row r="701" spans="14:14" ht="15.75" customHeight="1" x14ac:dyDescent="0.2">
      <c r="N701" s="9"/>
    </row>
    <row r="702" spans="14:14" ht="15.75" customHeight="1" x14ac:dyDescent="0.2">
      <c r="N702" s="9"/>
    </row>
    <row r="703" spans="14:14" ht="15.75" customHeight="1" x14ac:dyDescent="0.2">
      <c r="N703" s="9"/>
    </row>
    <row r="704" spans="14:14" ht="15.75" customHeight="1" x14ac:dyDescent="0.2">
      <c r="N704" s="9"/>
    </row>
    <row r="705" spans="14:14" ht="15.75" customHeight="1" x14ac:dyDescent="0.2">
      <c r="N705" s="9"/>
    </row>
    <row r="706" spans="14:14" ht="15.75" customHeight="1" x14ac:dyDescent="0.2">
      <c r="N706" s="9"/>
    </row>
    <row r="707" spans="14:14" ht="15.75" customHeight="1" x14ac:dyDescent="0.2">
      <c r="N707" s="9"/>
    </row>
    <row r="708" spans="14:14" ht="15.75" customHeight="1" x14ac:dyDescent="0.2">
      <c r="N708" s="9"/>
    </row>
    <row r="709" spans="14:14" ht="15.75" customHeight="1" x14ac:dyDescent="0.2">
      <c r="N709" s="9"/>
    </row>
    <row r="710" spans="14:14" ht="15.75" customHeight="1" x14ac:dyDescent="0.2">
      <c r="N710" s="9"/>
    </row>
    <row r="711" spans="14:14" ht="15.75" customHeight="1" x14ac:dyDescent="0.2">
      <c r="N711" s="9"/>
    </row>
    <row r="712" spans="14:14" ht="15.75" customHeight="1" x14ac:dyDescent="0.2">
      <c r="N712" s="9"/>
    </row>
    <row r="713" spans="14:14" ht="15.75" customHeight="1" x14ac:dyDescent="0.2">
      <c r="N713" s="9"/>
    </row>
    <row r="714" spans="14:14" ht="15.75" customHeight="1" x14ac:dyDescent="0.2">
      <c r="N714" s="9"/>
    </row>
    <row r="715" spans="14:14" ht="15.75" customHeight="1" x14ac:dyDescent="0.2">
      <c r="N715" s="9"/>
    </row>
    <row r="716" spans="14:14" ht="15.75" customHeight="1" x14ac:dyDescent="0.2">
      <c r="N716" s="9"/>
    </row>
    <row r="717" spans="14:14" ht="15.75" customHeight="1" x14ac:dyDescent="0.2">
      <c r="N717" s="9"/>
    </row>
    <row r="718" spans="14:14" ht="15.75" customHeight="1" x14ac:dyDescent="0.2">
      <c r="N718" s="9"/>
    </row>
    <row r="719" spans="14:14" ht="15.75" customHeight="1" x14ac:dyDescent="0.2">
      <c r="N719" s="9"/>
    </row>
    <row r="720" spans="14:14" ht="15.75" customHeight="1" x14ac:dyDescent="0.2">
      <c r="N720" s="9"/>
    </row>
    <row r="721" spans="14:14" ht="15.75" customHeight="1" x14ac:dyDescent="0.2">
      <c r="N721" s="9"/>
    </row>
    <row r="722" spans="14:14" ht="15.75" customHeight="1" x14ac:dyDescent="0.2">
      <c r="N722" s="9"/>
    </row>
    <row r="723" spans="14:14" ht="15.75" customHeight="1" x14ac:dyDescent="0.2">
      <c r="N723" s="9"/>
    </row>
    <row r="724" spans="14:14" ht="15.75" customHeight="1" x14ac:dyDescent="0.2">
      <c r="N724" s="9"/>
    </row>
    <row r="725" spans="14:14" ht="15.75" customHeight="1" x14ac:dyDescent="0.2">
      <c r="N725" s="9"/>
    </row>
    <row r="726" spans="14:14" ht="15.75" customHeight="1" x14ac:dyDescent="0.2">
      <c r="N726" s="9"/>
    </row>
    <row r="727" spans="14:14" ht="15.75" customHeight="1" x14ac:dyDescent="0.2">
      <c r="N727" s="9"/>
    </row>
    <row r="728" spans="14:14" ht="15.75" customHeight="1" x14ac:dyDescent="0.2">
      <c r="N728" s="9"/>
    </row>
    <row r="729" spans="14:14" ht="15.75" customHeight="1" x14ac:dyDescent="0.2">
      <c r="N729" s="9"/>
    </row>
    <row r="730" spans="14:14" ht="15.75" customHeight="1" x14ac:dyDescent="0.2">
      <c r="N730" s="9"/>
    </row>
    <row r="731" spans="14:14" ht="15.75" customHeight="1" x14ac:dyDescent="0.2">
      <c r="N731" s="9"/>
    </row>
    <row r="732" spans="14:14" ht="15.75" customHeight="1" x14ac:dyDescent="0.2">
      <c r="N732" s="9"/>
    </row>
    <row r="733" spans="14:14" ht="15.75" customHeight="1" x14ac:dyDescent="0.2">
      <c r="N733" s="9"/>
    </row>
    <row r="734" spans="14:14" ht="15.75" customHeight="1" x14ac:dyDescent="0.2">
      <c r="N734" s="9"/>
    </row>
    <row r="735" spans="14:14" ht="15.75" customHeight="1" x14ac:dyDescent="0.2">
      <c r="N735" s="9"/>
    </row>
    <row r="736" spans="14:14" ht="15.75" customHeight="1" x14ac:dyDescent="0.2">
      <c r="N736" s="9"/>
    </row>
    <row r="737" spans="14:14" ht="15.75" customHeight="1" x14ac:dyDescent="0.2">
      <c r="N737" s="9"/>
    </row>
    <row r="738" spans="14:14" ht="15.75" customHeight="1" x14ac:dyDescent="0.2">
      <c r="N738" s="9"/>
    </row>
    <row r="739" spans="14:14" ht="15.75" customHeight="1" x14ac:dyDescent="0.2">
      <c r="N739" s="9"/>
    </row>
    <row r="740" spans="14:14" ht="15.75" customHeight="1" x14ac:dyDescent="0.2">
      <c r="N740" s="9"/>
    </row>
    <row r="741" spans="14:14" ht="15.75" customHeight="1" x14ac:dyDescent="0.2">
      <c r="N741" s="9"/>
    </row>
    <row r="742" spans="14:14" ht="15.75" customHeight="1" x14ac:dyDescent="0.2">
      <c r="N742" s="9"/>
    </row>
    <row r="743" spans="14:14" ht="15.75" customHeight="1" x14ac:dyDescent="0.2">
      <c r="N743" s="9"/>
    </row>
    <row r="744" spans="14:14" ht="15.75" customHeight="1" x14ac:dyDescent="0.2">
      <c r="N744" s="9"/>
    </row>
    <row r="745" spans="14:14" ht="15.75" customHeight="1" x14ac:dyDescent="0.2">
      <c r="N745" s="9"/>
    </row>
    <row r="746" spans="14:14" ht="15.75" customHeight="1" x14ac:dyDescent="0.2">
      <c r="N746" s="9"/>
    </row>
    <row r="747" spans="14:14" ht="15.75" customHeight="1" x14ac:dyDescent="0.2">
      <c r="N747" s="9"/>
    </row>
    <row r="748" spans="14:14" ht="15.75" customHeight="1" x14ac:dyDescent="0.2">
      <c r="N748" s="9"/>
    </row>
    <row r="749" spans="14:14" ht="15.75" customHeight="1" x14ac:dyDescent="0.2">
      <c r="N749" s="9"/>
    </row>
    <row r="750" spans="14:14" ht="15.75" customHeight="1" x14ac:dyDescent="0.2">
      <c r="N750" s="9"/>
    </row>
    <row r="751" spans="14:14" ht="15.75" customHeight="1" x14ac:dyDescent="0.2">
      <c r="N751" s="9"/>
    </row>
    <row r="752" spans="14:14" ht="15.75" customHeight="1" x14ac:dyDescent="0.2">
      <c r="N752" s="9"/>
    </row>
    <row r="753" spans="14:14" ht="15.75" customHeight="1" x14ac:dyDescent="0.2">
      <c r="N753" s="9"/>
    </row>
    <row r="754" spans="14:14" ht="15.75" customHeight="1" x14ac:dyDescent="0.2">
      <c r="N754" s="9"/>
    </row>
    <row r="755" spans="14:14" ht="15.75" customHeight="1" x14ac:dyDescent="0.2">
      <c r="N755" s="9"/>
    </row>
    <row r="756" spans="14:14" ht="15.75" customHeight="1" x14ac:dyDescent="0.2">
      <c r="N756" s="9"/>
    </row>
    <row r="757" spans="14:14" ht="15.75" customHeight="1" x14ac:dyDescent="0.2">
      <c r="N757" s="9"/>
    </row>
    <row r="758" spans="14:14" ht="15.75" customHeight="1" x14ac:dyDescent="0.2">
      <c r="N758" s="9"/>
    </row>
    <row r="759" spans="14:14" ht="15.75" customHeight="1" x14ac:dyDescent="0.2">
      <c r="N759" s="9"/>
    </row>
    <row r="760" spans="14:14" ht="15.75" customHeight="1" x14ac:dyDescent="0.2">
      <c r="N760" s="9"/>
    </row>
    <row r="761" spans="14:14" ht="15.75" customHeight="1" x14ac:dyDescent="0.2">
      <c r="N761" s="9"/>
    </row>
    <row r="762" spans="14:14" ht="15.75" customHeight="1" x14ac:dyDescent="0.2">
      <c r="N762" s="9"/>
    </row>
    <row r="763" spans="14:14" ht="15.75" customHeight="1" x14ac:dyDescent="0.2">
      <c r="N763" s="9"/>
    </row>
    <row r="764" spans="14:14" ht="15.75" customHeight="1" x14ac:dyDescent="0.2">
      <c r="N764" s="9"/>
    </row>
    <row r="765" spans="14:14" ht="15.75" customHeight="1" x14ac:dyDescent="0.2">
      <c r="N765" s="9"/>
    </row>
    <row r="766" spans="14:14" ht="15.75" customHeight="1" x14ac:dyDescent="0.2">
      <c r="N766" s="9"/>
    </row>
    <row r="767" spans="14:14" ht="15.75" customHeight="1" x14ac:dyDescent="0.2">
      <c r="N767" s="9"/>
    </row>
    <row r="768" spans="14:14" ht="15.75" customHeight="1" x14ac:dyDescent="0.2">
      <c r="N768" s="9"/>
    </row>
    <row r="769" spans="14:14" ht="15.75" customHeight="1" x14ac:dyDescent="0.2">
      <c r="N769" s="9"/>
    </row>
    <row r="770" spans="14:14" ht="15.75" customHeight="1" x14ac:dyDescent="0.2">
      <c r="N770" s="9"/>
    </row>
    <row r="771" spans="14:14" ht="15.75" customHeight="1" x14ac:dyDescent="0.2">
      <c r="N771" s="9"/>
    </row>
    <row r="772" spans="14:14" ht="15.75" customHeight="1" x14ac:dyDescent="0.2">
      <c r="N772" s="9"/>
    </row>
    <row r="773" spans="14:14" ht="15.75" customHeight="1" x14ac:dyDescent="0.2">
      <c r="N773" s="9"/>
    </row>
    <row r="774" spans="14:14" ht="15.75" customHeight="1" x14ac:dyDescent="0.2">
      <c r="N774" s="9"/>
    </row>
    <row r="775" spans="14:14" ht="15.75" customHeight="1" x14ac:dyDescent="0.2">
      <c r="N775" s="9"/>
    </row>
    <row r="776" spans="14:14" ht="15.75" customHeight="1" x14ac:dyDescent="0.2">
      <c r="N776" s="9"/>
    </row>
    <row r="777" spans="14:14" ht="15.75" customHeight="1" x14ac:dyDescent="0.2">
      <c r="N777" s="9"/>
    </row>
    <row r="778" spans="14:14" ht="15.75" customHeight="1" x14ac:dyDescent="0.2">
      <c r="N778" s="9"/>
    </row>
    <row r="779" spans="14:14" ht="15.75" customHeight="1" x14ac:dyDescent="0.2">
      <c r="N779" s="9"/>
    </row>
    <row r="780" spans="14:14" ht="15.75" customHeight="1" x14ac:dyDescent="0.2">
      <c r="N780" s="9"/>
    </row>
    <row r="781" spans="14:14" ht="15.75" customHeight="1" x14ac:dyDescent="0.2">
      <c r="N781" s="9"/>
    </row>
    <row r="782" spans="14:14" ht="15.75" customHeight="1" x14ac:dyDescent="0.2">
      <c r="N782" s="9"/>
    </row>
    <row r="783" spans="14:14" ht="15.75" customHeight="1" x14ac:dyDescent="0.2">
      <c r="N783" s="9"/>
    </row>
    <row r="784" spans="14:14" ht="15.75" customHeight="1" x14ac:dyDescent="0.2">
      <c r="N784" s="9"/>
    </row>
    <row r="785" spans="14:14" ht="15.75" customHeight="1" x14ac:dyDescent="0.2">
      <c r="N785" s="9"/>
    </row>
    <row r="786" spans="14:14" ht="15.75" customHeight="1" x14ac:dyDescent="0.2">
      <c r="N786" s="9"/>
    </row>
    <row r="787" spans="14:14" ht="15.75" customHeight="1" x14ac:dyDescent="0.2">
      <c r="N787" s="9"/>
    </row>
    <row r="788" spans="14:14" ht="15.75" customHeight="1" x14ac:dyDescent="0.2">
      <c r="N788" s="9"/>
    </row>
    <row r="789" spans="14:14" ht="15.75" customHeight="1" x14ac:dyDescent="0.2">
      <c r="N789" s="9"/>
    </row>
    <row r="790" spans="14:14" ht="15.75" customHeight="1" x14ac:dyDescent="0.2">
      <c r="N790" s="9"/>
    </row>
    <row r="791" spans="14:14" ht="15.75" customHeight="1" x14ac:dyDescent="0.2">
      <c r="N791" s="9"/>
    </row>
    <row r="792" spans="14:14" ht="15.75" customHeight="1" x14ac:dyDescent="0.2">
      <c r="N792" s="9"/>
    </row>
    <row r="793" spans="14:14" ht="15.75" customHeight="1" x14ac:dyDescent="0.2">
      <c r="N793" s="9"/>
    </row>
    <row r="794" spans="14:14" ht="15.75" customHeight="1" x14ac:dyDescent="0.2">
      <c r="N794" s="9"/>
    </row>
    <row r="795" spans="14:14" ht="15.75" customHeight="1" x14ac:dyDescent="0.2">
      <c r="N795" s="9"/>
    </row>
    <row r="796" spans="14:14" ht="15.75" customHeight="1" x14ac:dyDescent="0.2">
      <c r="N796" s="9"/>
    </row>
    <row r="797" spans="14:14" ht="15.75" customHeight="1" x14ac:dyDescent="0.2">
      <c r="N797" s="9"/>
    </row>
    <row r="798" spans="14:14" ht="15.75" customHeight="1" x14ac:dyDescent="0.2">
      <c r="N798" s="9"/>
    </row>
    <row r="799" spans="14:14" ht="15.75" customHeight="1" x14ac:dyDescent="0.2">
      <c r="N799" s="9"/>
    </row>
    <row r="800" spans="14:14" ht="15.75" customHeight="1" x14ac:dyDescent="0.2">
      <c r="N800" s="9"/>
    </row>
    <row r="801" spans="14:14" ht="15.75" customHeight="1" x14ac:dyDescent="0.2">
      <c r="N801" s="9"/>
    </row>
    <row r="802" spans="14:14" ht="15.75" customHeight="1" x14ac:dyDescent="0.2">
      <c r="N802" s="9"/>
    </row>
    <row r="803" spans="14:14" ht="15.75" customHeight="1" x14ac:dyDescent="0.2">
      <c r="N803" s="9"/>
    </row>
    <row r="804" spans="14:14" ht="15.75" customHeight="1" x14ac:dyDescent="0.2">
      <c r="N804" s="9"/>
    </row>
    <row r="805" spans="14:14" ht="15.75" customHeight="1" x14ac:dyDescent="0.2">
      <c r="N805" s="9"/>
    </row>
    <row r="806" spans="14:14" ht="15.75" customHeight="1" x14ac:dyDescent="0.2">
      <c r="N806" s="9"/>
    </row>
    <row r="807" spans="14:14" ht="15.75" customHeight="1" x14ac:dyDescent="0.2">
      <c r="N807" s="9"/>
    </row>
    <row r="808" spans="14:14" ht="15.75" customHeight="1" x14ac:dyDescent="0.2">
      <c r="N808" s="9"/>
    </row>
    <row r="809" spans="14:14" ht="15.75" customHeight="1" x14ac:dyDescent="0.2">
      <c r="N809" s="9"/>
    </row>
    <row r="810" spans="14:14" ht="15.75" customHeight="1" x14ac:dyDescent="0.2">
      <c r="N810" s="9"/>
    </row>
    <row r="811" spans="14:14" ht="15.75" customHeight="1" x14ac:dyDescent="0.2">
      <c r="N811" s="9"/>
    </row>
    <row r="812" spans="14:14" ht="15.75" customHeight="1" x14ac:dyDescent="0.2">
      <c r="N812" s="9"/>
    </row>
    <row r="813" spans="14:14" ht="15.75" customHeight="1" x14ac:dyDescent="0.2">
      <c r="N813" s="9"/>
    </row>
    <row r="814" spans="14:14" ht="15.75" customHeight="1" x14ac:dyDescent="0.2">
      <c r="N814" s="9"/>
    </row>
    <row r="815" spans="14:14" ht="15.75" customHeight="1" x14ac:dyDescent="0.2">
      <c r="N815" s="9"/>
    </row>
    <row r="816" spans="14:14" ht="15.75" customHeight="1" x14ac:dyDescent="0.2">
      <c r="N816" s="9"/>
    </row>
    <row r="817" spans="14:14" ht="15.75" customHeight="1" x14ac:dyDescent="0.2">
      <c r="N817" s="9"/>
    </row>
    <row r="818" spans="14:14" ht="15.75" customHeight="1" x14ac:dyDescent="0.2">
      <c r="N818" s="9"/>
    </row>
    <row r="819" spans="14:14" ht="15.75" customHeight="1" x14ac:dyDescent="0.2">
      <c r="N819" s="9"/>
    </row>
    <row r="820" spans="14:14" ht="15.75" customHeight="1" x14ac:dyDescent="0.2">
      <c r="N820" s="9"/>
    </row>
    <row r="821" spans="14:14" ht="15.75" customHeight="1" x14ac:dyDescent="0.2">
      <c r="N821" s="9"/>
    </row>
    <row r="822" spans="14:14" ht="15.75" customHeight="1" x14ac:dyDescent="0.2">
      <c r="N822" s="9"/>
    </row>
    <row r="823" spans="14:14" ht="15.75" customHeight="1" x14ac:dyDescent="0.2">
      <c r="N823" s="9"/>
    </row>
    <row r="824" spans="14:14" ht="15.75" customHeight="1" x14ac:dyDescent="0.2">
      <c r="N824" s="9"/>
    </row>
    <row r="825" spans="14:14" ht="15.75" customHeight="1" x14ac:dyDescent="0.2">
      <c r="N825" s="9"/>
    </row>
    <row r="826" spans="14:14" ht="15.75" customHeight="1" x14ac:dyDescent="0.2">
      <c r="N826" s="9"/>
    </row>
    <row r="827" spans="14:14" ht="15.75" customHeight="1" x14ac:dyDescent="0.2">
      <c r="N827" s="9"/>
    </row>
    <row r="828" spans="14:14" ht="15.75" customHeight="1" x14ac:dyDescent="0.2">
      <c r="N828" s="9"/>
    </row>
    <row r="829" spans="14:14" ht="15.75" customHeight="1" x14ac:dyDescent="0.2">
      <c r="N829" s="9"/>
    </row>
    <row r="830" spans="14:14" ht="15.75" customHeight="1" x14ac:dyDescent="0.2">
      <c r="N830" s="9"/>
    </row>
    <row r="831" spans="14:14" ht="15.75" customHeight="1" x14ac:dyDescent="0.2">
      <c r="N831" s="9"/>
    </row>
    <row r="832" spans="14:14" ht="15.75" customHeight="1" x14ac:dyDescent="0.2">
      <c r="N832" s="9"/>
    </row>
    <row r="833" spans="14:14" ht="15.75" customHeight="1" x14ac:dyDescent="0.2">
      <c r="N833" s="9"/>
    </row>
    <row r="834" spans="14:14" ht="15.75" customHeight="1" x14ac:dyDescent="0.2">
      <c r="N834" s="9"/>
    </row>
    <row r="835" spans="14:14" ht="15.75" customHeight="1" x14ac:dyDescent="0.2">
      <c r="N835" s="9"/>
    </row>
    <row r="836" spans="14:14" ht="15.75" customHeight="1" x14ac:dyDescent="0.2">
      <c r="N836" s="9"/>
    </row>
    <row r="837" spans="14:14" ht="15.75" customHeight="1" x14ac:dyDescent="0.2">
      <c r="N837" s="9"/>
    </row>
    <row r="838" spans="14:14" ht="15.75" customHeight="1" x14ac:dyDescent="0.2">
      <c r="N838" s="9"/>
    </row>
    <row r="839" spans="14:14" ht="15.75" customHeight="1" x14ac:dyDescent="0.2">
      <c r="N839" s="9"/>
    </row>
    <row r="840" spans="14:14" ht="15.75" customHeight="1" x14ac:dyDescent="0.2">
      <c r="N840" s="9"/>
    </row>
    <row r="841" spans="14:14" ht="15.75" customHeight="1" x14ac:dyDescent="0.2">
      <c r="N841" s="9"/>
    </row>
    <row r="842" spans="14:14" ht="15.75" customHeight="1" x14ac:dyDescent="0.2">
      <c r="N842" s="9"/>
    </row>
    <row r="843" spans="14:14" ht="15.75" customHeight="1" x14ac:dyDescent="0.2">
      <c r="N843" s="9"/>
    </row>
    <row r="844" spans="14:14" ht="15.75" customHeight="1" x14ac:dyDescent="0.2">
      <c r="N844" s="9"/>
    </row>
    <row r="845" spans="14:14" ht="15.75" customHeight="1" x14ac:dyDescent="0.2">
      <c r="N845" s="9"/>
    </row>
    <row r="846" spans="14:14" ht="15.75" customHeight="1" x14ac:dyDescent="0.2">
      <c r="N846" s="9"/>
    </row>
    <row r="847" spans="14:14" ht="15.75" customHeight="1" x14ac:dyDescent="0.2">
      <c r="N847" s="9"/>
    </row>
    <row r="848" spans="14:14" ht="15.75" customHeight="1" x14ac:dyDescent="0.2">
      <c r="N848" s="9"/>
    </row>
    <row r="849" spans="14:14" ht="15.75" customHeight="1" x14ac:dyDescent="0.2">
      <c r="N849" s="9"/>
    </row>
    <row r="850" spans="14:14" ht="15.75" customHeight="1" x14ac:dyDescent="0.2">
      <c r="N850" s="9"/>
    </row>
    <row r="851" spans="14:14" ht="15.75" customHeight="1" x14ac:dyDescent="0.2">
      <c r="N851" s="9"/>
    </row>
    <row r="852" spans="14:14" ht="15.75" customHeight="1" x14ac:dyDescent="0.2">
      <c r="N852" s="9"/>
    </row>
    <row r="853" spans="14:14" ht="15.75" customHeight="1" x14ac:dyDescent="0.2">
      <c r="N853" s="9"/>
    </row>
    <row r="854" spans="14:14" ht="15.75" customHeight="1" x14ac:dyDescent="0.2">
      <c r="N854" s="9"/>
    </row>
    <row r="855" spans="14:14" ht="15.75" customHeight="1" x14ac:dyDescent="0.2">
      <c r="N855" s="9"/>
    </row>
    <row r="856" spans="14:14" ht="15.75" customHeight="1" x14ac:dyDescent="0.2">
      <c r="N856" s="9"/>
    </row>
    <row r="857" spans="14:14" ht="15.75" customHeight="1" x14ac:dyDescent="0.2">
      <c r="N857" s="9"/>
    </row>
    <row r="858" spans="14:14" ht="15.75" customHeight="1" x14ac:dyDescent="0.2">
      <c r="N858" s="9"/>
    </row>
    <row r="859" spans="14:14" ht="15.75" customHeight="1" x14ac:dyDescent="0.2">
      <c r="N859" s="9"/>
    </row>
    <row r="860" spans="14:14" ht="15.75" customHeight="1" x14ac:dyDescent="0.2">
      <c r="N860" s="9"/>
    </row>
    <row r="861" spans="14:14" ht="15.75" customHeight="1" x14ac:dyDescent="0.2">
      <c r="N861" s="9"/>
    </row>
    <row r="862" spans="14:14" ht="15.75" customHeight="1" x14ac:dyDescent="0.2">
      <c r="N862" s="9"/>
    </row>
    <row r="863" spans="14:14" ht="15.75" customHeight="1" x14ac:dyDescent="0.2">
      <c r="N863" s="9"/>
    </row>
    <row r="864" spans="14:14" ht="15.75" customHeight="1" x14ac:dyDescent="0.2">
      <c r="N864" s="9"/>
    </row>
    <row r="865" spans="14:14" ht="15.75" customHeight="1" x14ac:dyDescent="0.2">
      <c r="N865" s="9"/>
    </row>
    <row r="866" spans="14:14" ht="15.75" customHeight="1" x14ac:dyDescent="0.2">
      <c r="N866" s="9"/>
    </row>
    <row r="867" spans="14:14" ht="15.75" customHeight="1" x14ac:dyDescent="0.2">
      <c r="N867" s="9"/>
    </row>
    <row r="868" spans="14:14" ht="15.75" customHeight="1" x14ac:dyDescent="0.2">
      <c r="N868" s="9"/>
    </row>
    <row r="869" spans="14:14" ht="15.75" customHeight="1" x14ac:dyDescent="0.2">
      <c r="N869" s="9"/>
    </row>
    <row r="870" spans="14:14" ht="15.75" customHeight="1" x14ac:dyDescent="0.2">
      <c r="N870" s="9"/>
    </row>
    <row r="871" spans="14:14" ht="15.75" customHeight="1" x14ac:dyDescent="0.2">
      <c r="N871" s="9"/>
    </row>
    <row r="872" spans="14:14" ht="15.75" customHeight="1" x14ac:dyDescent="0.2">
      <c r="N872" s="9"/>
    </row>
    <row r="873" spans="14:14" ht="15.75" customHeight="1" x14ac:dyDescent="0.2">
      <c r="N873" s="9"/>
    </row>
    <row r="874" spans="14:14" ht="15.75" customHeight="1" x14ac:dyDescent="0.2">
      <c r="N874" s="9"/>
    </row>
    <row r="875" spans="14:14" ht="15.75" customHeight="1" x14ac:dyDescent="0.2">
      <c r="N875" s="9"/>
    </row>
    <row r="876" spans="14:14" ht="15.75" customHeight="1" x14ac:dyDescent="0.2">
      <c r="N876" s="9"/>
    </row>
    <row r="877" spans="14:14" ht="15.75" customHeight="1" x14ac:dyDescent="0.2">
      <c r="N877" s="9"/>
    </row>
    <row r="878" spans="14:14" ht="15.75" customHeight="1" x14ac:dyDescent="0.2">
      <c r="N878" s="9"/>
    </row>
    <row r="879" spans="14:14" ht="15.75" customHeight="1" x14ac:dyDescent="0.2">
      <c r="N879" s="9"/>
    </row>
    <row r="880" spans="14:14" ht="15.75" customHeight="1" x14ac:dyDescent="0.2">
      <c r="N880" s="9"/>
    </row>
    <row r="881" spans="14:14" ht="15.75" customHeight="1" x14ac:dyDescent="0.2">
      <c r="N881" s="9"/>
    </row>
    <row r="882" spans="14:14" ht="15.75" customHeight="1" x14ac:dyDescent="0.2">
      <c r="N882" s="9"/>
    </row>
    <row r="883" spans="14:14" ht="15.75" customHeight="1" x14ac:dyDescent="0.2">
      <c r="N883" s="9"/>
    </row>
    <row r="884" spans="14:14" ht="15.75" customHeight="1" x14ac:dyDescent="0.2">
      <c r="N884" s="9"/>
    </row>
    <row r="885" spans="14:14" ht="15.75" customHeight="1" x14ac:dyDescent="0.2">
      <c r="N885" s="9"/>
    </row>
    <row r="886" spans="14:14" ht="15.75" customHeight="1" x14ac:dyDescent="0.2">
      <c r="N886" s="9"/>
    </row>
    <row r="887" spans="14:14" ht="15.75" customHeight="1" x14ac:dyDescent="0.2">
      <c r="N887" s="9"/>
    </row>
    <row r="888" spans="14:14" ht="15.75" customHeight="1" x14ac:dyDescent="0.2">
      <c r="N888" s="9"/>
    </row>
    <row r="889" spans="14:14" ht="15.75" customHeight="1" x14ac:dyDescent="0.2">
      <c r="N889" s="9"/>
    </row>
    <row r="890" spans="14:14" ht="15.75" customHeight="1" x14ac:dyDescent="0.2">
      <c r="N890" s="9"/>
    </row>
    <row r="891" spans="14:14" ht="15.75" customHeight="1" x14ac:dyDescent="0.2">
      <c r="N891" s="9"/>
    </row>
    <row r="892" spans="14:14" ht="15.75" customHeight="1" x14ac:dyDescent="0.2">
      <c r="N892" s="9"/>
    </row>
    <row r="893" spans="14:14" ht="15.75" customHeight="1" x14ac:dyDescent="0.2">
      <c r="N893" s="9"/>
    </row>
    <row r="894" spans="14:14" ht="15.75" customHeight="1" x14ac:dyDescent="0.2">
      <c r="N894" s="9"/>
    </row>
    <row r="895" spans="14:14" ht="15.75" customHeight="1" x14ac:dyDescent="0.2">
      <c r="N895" s="9"/>
    </row>
    <row r="896" spans="14:14" ht="15.75" customHeight="1" x14ac:dyDescent="0.2">
      <c r="N896" s="9"/>
    </row>
    <row r="897" spans="14:14" ht="15.75" customHeight="1" x14ac:dyDescent="0.2">
      <c r="N897" s="9"/>
    </row>
    <row r="898" spans="14:14" ht="15.75" customHeight="1" x14ac:dyDescent="0.2">
      <c r="N898" s="9"/>
    </row>
    <row r="899" spans="14:14" ht="15.75" customHeight="1" x14ac:dyDescent="0.2">
      <c r="N899" s="9"/>
    </row>
    <row r="900" spans="14:14" ht="15.75" customHeight="1" x14ac:dyDescent="0.2">
      <c r="N900" s="9"/>
    </row>
    <row r="901" spans="14:14" ht="15.75" customHeight="1" x14ac:dyDescent="0.2">
      <c r="N901" s="9"/>
    </row>
    <row r="902" spans="14:14" ht="15.75" customHeight="1" x14ac:dyDescent="0.2">
      <c r="N902" s="9"/>
    </row>
    <row r="903" spans="14:14" ht="15.75" customHeight="1" x14ac:dyDescent="0.2">
      <c r="N903" s="9"/>
    </row>
    <row r="904" spans="14:14" ht="15.75" customHeight="1" x14ac:dyDescent="0.2">
      <c r="N904" s="9"/>
    </row>
    <row r="905" spans="14:14" ht="15.75" customHeight="1" x14ac:dyDescent="0.2">
      <c r="N905" s="9"/>
    </row>
    <row r="906" spans="14:14" ht="15.75" customHeight="1" x14ac:dyDescent="0.2">
      <c r="N906" s="9"/>
    </row>
    <row r="907" spans="14:14" ht="15.75" customHeight="1" x14ac:dyDescent="0.2">
      <c r="N907" s="9"/>
    </row>
    <row r="908" spans="14:14" ht="15.75" customHeight="1" x14ac:dyDescent="0.2">
      <c r="N908" s="9"/>
    </row>
    <row r="909" spans="14:14" ht="15.75" customHeight="1" x14ac:dyDescent="0.2">
      <c r="N909" s="9"/>
    </row>
    <row r="910" spans="14:14" ht="15.75" customHeight="1" x14ac:dyDescent="0.2">
      <c r="N910" s="9"/>
    </row>
    <row r="911" spans="14:14" ht="15.75" customHeight="1" x14ac:dyDescent="0.2">
      <c r="N911" s="9"/>
    </row>
    <row r="912" spans="14:14" ht="15.75" customHeight="1" x14ac:dyDescent="0.2">
      <c r="N912" s="9"/>
    </row>
    <row r="913" spans="14:14" ht="15.75" customHeight="1" x14ac:dyDescent="0.2">
      <c r="N913" s="9"/>
    </row>
    <row r="914" spans="14:14" ht="15.75" customHeight="1" x14ac:dyDescent="0.2">
      <c r="N914" s="9"/>
    </row>
    <row r="915" spans="14:14" ht="15.75" customHeight="1" x14ac:dyDescent="0.2">
      <c r="N915" s="9"/>
    </row>
    <row r="916" spans="14:14" ht="15.75" customHeight="1" x14ac:dyDescent="0.2">
      <c r="N916" s="9"/>
    </row>
    <row r="917" spans="14:14" ht="15.75" customHeight="1" x14ac:dyDescent="0.2">
      <c r="N917" s="9"/>
    </row>
    <row r="918" spans="14:14" ht="15.75" customHeight="1" x14ac:dyDescent="0.2">
      <c r="N918" s="9"/>
    </row>
    <row r="919" spans="14:14" ht="15.75" customHeight="1" x14ac:dyDescent="0.2">
      <c r="N919" s="9"/>
    </row>
    <row r="920" spans="14:14" ht="15.75" customHeight="1" x14ac:dyDescent="0.2">
      <c r="N920" s="9"/>
    </row>
    <row r="921" spans="14:14" ht="15.75" customHeight="1" x14ac:dyDescent="0.2">
      <c r="N921" s="9"/>
    </row>
    <row r="922" spans="14:14" ht="15.75" customHeight="1" x14ac:dyDescent="0.2">
      <c r="N922" s="9"/>
    </row>
    <row r="923" spans="14:14" ht="15.75" customHeight="1" x14ac:dyDescent="0.2">
      <c r="N923" s="9"/>
    </row>
    <row r="924" spans="14:14" ht="15.75" customHeight="1" x14ac:dyDescent="0.2">
      <c r="N924" s="9"/>
    </row>
    <row r="925" spans="14:14" ht="15.75" customHeight="1" x14ac:dyDescent="0.2">
      <c r="N925" s="9"/>
    </row>
    <row r="926" spans="14:14" ht="15.75" customHeight="1" x14ac:dyDescent="0.2">
      <c r="N926" s="9"/>
    </row>
    <row r="927" spans="14:14" ht="15.75" customHeight="1" x14ac:dyDescent="0.2">
      <c r="N927" s="9"/>
    </row>
    <row r="928" spans="14:14" ht="15.75" customHeight="1" x14ac:dyDescent="0.2">
      <c r="N928" s="9"/>
    </row>
    <row r="929" spans="14:14" ht="15.75" customHeight="1" x14ac:dyDescent="0.2">
      <c r="N929" s="9"/>
    </row>
    <row r="930" spans="14:14" ht="15.75" customHeight="1" x14ac:dyDescent="0.2">
      <c r="N930" s="9"/>
    </row>
    <row r="931" spans="14:14" ht="15.75" customHeight="1" x14ac:dyDescent="0.2">
      <c r="N931" s="9"/>
    </row>
    <row r="932" spans="14:14" ht="15.75" customHeight="1" x14ac:dyDescent="0.2">
      <c r="N932" s="9"/>
    </row>
    <row r="933" spans="14:14" ht="15.75" customHeight="1" x14ac:dyDescent="0.2">
      <c r="N933" s="9"/>
    </row>
    <row r="934" spans="14:14" ht="15.75" customHeight="1" x14ac:dyDescent="0.2">
      <c r="N934" s="9"/>
    </row>
    <row r="935" spans="14:14" ht="15.75" customHeight="1" x14ac:dyDescent="0.2">
      <c r="N935" s="9"/>
    </row>
    <row r="936" spans="14:14" ht="15.75" customHeight="1" x14ac:dyDescent="0.2">
      <c r="N936" s="9"/>
    </row>
    <row r="937" spans="14:14" ht="15.75" customHeight="1" x14ac:dyDescent="0.2">
      <c r="N937" s="9"/>
    </row>
    <row r="938" spans="14:14" ht="15.75" customHeight="1" x14ac:dyDescent="0.2">
      <c r="N938" s="9"/>
    </row>
    <row r="939" spans="14:14" ht="15.75" customHeight="1" x14ac:dyDescent="0.2">
      <c r="N939" s="9"/>
    </row>
    <row r="940" spans="14:14" ht="15.75" customHeight="1" x14ac:dyDescent="0.2">
      <c r="N940" s="9"/>
    </row>
    <row r="941" spans="14:14" ht="15.75" customHeight="1" x14ac:dyDescent="0.2">
      <c r="N941" s="9"/>
    </row>
    <row r="942" spans="14:14" ht="15.75" customHeight="1" x14ac:dyDescent="0.2">
      <c r="N942" s="9"/>
    </row>
    <row r="943" spans="14:14" ht="15.75" customHeight="1" x14ac:dyDescent="0.2">
      <c r="N943" s="9"/>
    </row>
    <row r="944" spans="14:14" ht="15.75" customHeight="1" x14ac:dyDescent="0.2">
      <c r="N944" s="9"/>
    </row>
    <row r="945" spans="14:14" ht="15.75" customHeight="1" x14ac:dyDescent="0.2">
      <c r="N945" s="9"/>
    </row>
    <row r="946" spans="14:14" ht="15.75" customHeight="1" x14ac:dyDescent="0.2">
      <c r="N946" s="9"/>
    </row>
    <row r="947" spans="14:14" ht="15.75" customHeight="1" x14ac:dyDescent="0.2">
      <c r="N947" s="9"/>
    </row>
    <row r="948" spans="14:14" ht="15.75" customHeight="1" x14ac:dyDescent="0.2">
      <c r="N948" s="9"/>
    </row>
    <row r="949" spans="14:14" ht="15.75" customHeight="1" x14ac:dyDescent="0.2">
      <c r="N949" s="9"/>
    </row>
    <row r="950" spans="14:14" ht="15.75" customHeight="1" x14ac:dyDescent="0.2">
      <c r="N950" s="9"/>
    </row>
    <row r="951" spans="14:14" ht="15.75" customHeight="1" x14ac:dyDescent="0.2">
      <c r="N951" s="9"/>
    </row>
    <row r="952" spans="14:14" ht="15.75" customHeight="1" x14ac:dyDescent="0.2">
      <c r="N952" s="9"/>
    </row>
    <row r="953" spans="14:14" ht="15.75" customHeight="1" x14ac:dyDescent="0.2">
      <c r="N953" s="9"/>
    </row>
    <row r="954" spans="14:14" ht="15.75" customHeight="1" x14ac:dyDescent="0.2">
      <c r="N954" s="9"/>
    </row>
    <row r="955" spans="14:14" ht="15.75" customHeight="1" x14ac:dyDescent="0.2">
      <c r="N955" s="9"/>
    </row>
    <row r="956" spans="14:14" ht="15.75" customHeight="1" x14ac:dyDescent="0.2">
      <c r="N956" s="9"/>
    </row>
    <row r="957" spans="14:14" ht="15.75" customHeight="1" x14ac:dyDescent="0.2">
      <c r="N957" s="9"/>
    </row>
    <row r="958" spans="14:14" ht="15.75" customHeight="1" x14ac:dyDescent="0.2">
      <c r="N958" s="9"/>
    </row>
    <row r="959" spans="14:14" ht="15.75" customHeight="1" x14ac:dyDescent="0.2">
      <c r="N959" s="9"/>
    </row>
    <row r="960" spans="14:14" ht="15.75" customHeight="1" x14ac:dyDescent="0.2">
      <c r="N960" s="9"/>
    </row>
    <row r="961" spans="14:14" ht="15.75" customHeight="1" x14ac:dyDescent="0.2">
      <c r="N961" s="9"/>
    </row>
    <row r="962" spans="14:14" ht="15.75" customHeight="1" x14ac:dyDescent="0.2">
      <c r="N962" s="9"/>
    </row>
    <row r="963" spans="14:14" ht="15.75" customHeight="1" x14ac:dyDescent="0.2">
      <c r="N963" s="9"/>
    </row>
    <row r="964" spans="14:14" ht="15.75" customHeight="1" x14ac:dyDescent="0.2">
      <c r="N964" s="9"/>
    </row>
    <row r="965" spans="14:14" ht="15.75" customHeight="1" x14ac:dyDescent="0.2">
      <c r="N965" s="9"/>
    </row>
    <row r="966" spans="14:14" ht="15.75" customHeight="1" x14ac:dyDescent="0.2">
      <c r="N966" s="9"/>
    </row>
    <row r="967" spans="14:14" ht="15.75" customHeight="1" x14ac:dyDescent="0.2">
      <c r="N967" s="9"/>
    </row>
    <row r="968" spans="14:14" ht="15.75" customHeight="1" x14ac:dyDescent="0.2">
      <c r="N968" s="9"/>
    </row>
    <row r="969" spans="14:14" ht="15.75" customHeight="1" x14ac:dyDescent="0.2">
      <c r="N969" s="9"/>
    </row>
    <row r="970" spans="14:14" ht="15.75" customHeight="1" x14ac:dyDescent="0.2">
      <c r="N970" s="9"/>
    </row>
    <row r="971" spans="14:14" ht="15.75" customHeight="1" x14ac:dyDescent="0.2">
      <c r="N971" s="9"/>
    </row>
    <row r="972" spans="14:14" ht="15.75" customHeight="1" x14ac:dyDescent="0.2">
      <c r="N972" s="9"/>
    </row>
    <row r="973" spans="14:14" ht="15.75" customHeight="1" x14ac:dyDescent="0.2">
      <c r="N973" s="9"/>
    </row>
    <row r="974" spans="14:14" ht="15.75" customHeight="1" x14ac:dyDescent="0.2">
      <c r="N974" s="9"/>
    </row>
    <row r="975" spans="14:14" ht="15.75" customHeight="1" x14ac:dyDescent="0.2">
      <c r="N975" s="9"/>
    </row>
    <row r="976" spans="14:14" ht="15.75" customHeight="1" x14ac:dyDescent="0.2">
      <c r="N976" s="9"/>
    </row>
    <row r="977" spans="14:14" ht="15.75" customHeight="1" x14ac:dyDescent="0.2">
      <c r="N977" s="9"/>
    </row>
    <row r="978" spans="14:14" ht="15.75" customHeight="1" x14ac:dyDescent="0.2">
      <c r="N978" s="9"/>
    </row>
    <row r="979" spans="14:14" ht="15.75" customHeight="1" x14ac:dyDescent="0.2">
      <c r="N979" s="9"/>
    </row>
    <row r="980" spans="14:14" ht="15.75" customHeight="1" x14ac:dyDescent="0.2">
      <c r="N980" s="9"/>
    </row>
    <row r="981" spans="14:14" ht="15.75" customHeight="1" x14ac:dyDescent="0.2">
      <c r="N981" s="9"/>
    </row>
    <row r="982" spans="14:14" ht="15.75" customHeight="1" x14ac:dyDescent="0.2">
      <c r="N982" s="9"/>
    </row>
    <row r="983" spans="14:14" ht="15.75" customHeight="1" x14ac:dyDescent="0.2">
      <c r="N983" s="9"/>
    </row>
    <row r="984" spans="14:14" ht="15.75" customHeight="1" x14ac:dyDescent="0.2">
      <c r="N984" s="9"/>
    </row>
    <row r="985" spans="14:14" ht="15.75" customHeight="1" x14ac:dyDescent="0.2">
      <c r="N985" s="9"/>
    </row>
    <row r="986" spans="14:14" ht="15.75" customHeight="1" x14ac:dyDescent="0.2">
      <c r="N986" s="9"/>
    </row>
    <row r="987" spans="14:14" ht="15.75" customHeight="1" x14ac:dyDescent="0.2">
      <c r="N987" s="9"/>
    </row>
    <row r="988" spans="14:14" ht="15.75" customHeight="1" x14ac:dyDescent="0.2">
      <c r="N988" s="9"/>
    </row>
    <row r="989" spans="14:14" ht="15.75" customHeight="1" x14ac:dyDescent="0.2">
      <c r="N989" s="9"/>
    </row>
    <row r="990" spans="14:14" ht="15.75" customHeight="1" x14ac:dyDescent="0.2">
      <c r="N990" s="9"/>
    </row>
    <row r="991" spans="14:14" ht="15.75" customHeight="1" x14ac:dyDescent="0.2">
      <c r="N991" s="9"/>
    </row>
    <row r="992" spans="14:14" ht="15.75" customHeight="1" x14ac:dyDescent="0.2">
      <c r="N992" s="9"/>
    </row>
    <row r="993" spans="14:14" ht="15.75" customHeight="1" x14ac:dyDescent="0.2">
      <c r="N993" s="9"/>
    </row>
    <row r="994" spans="14:14" ht="15.75" customHeight="1" x14ac:dyDescent="0.2">
      <c r="N994" s="9"/>
    </row>
    <row r="995" spans="14:14" ht="15.75" customHeight="1" x14ac:dyDescent="0.2">
      <c r="N995" s="9"/>
    </row>
    <row r="996" spans="14:14" ht="15.75" customHeight="1" x14ac:dyDescent="0.2">
      <c r="N996" s="9"/>
    </row>
    <row r="997" spans="14:14" ht="15.75" customHeight="1" x14ac:dyDescent="0.2">
      <c r="N997" s="9"/>
    </row>
    <row r="998" spans="14:14" ht="15.75" customHeight="1" x14ac:dyDescent="0.2">
      <c r="N998" s="9"/>
    </row>
    <row r="999" spans="14:14" ht="15.75" customHeight="1" x14ac:dyDescent="0.2">
      <c r="N999" s="9"/>
    </row>
    <row r="1000" spans="14:14" ht="15.75" customHeight="1" x14ac:dyDescent="0.2">
      <c r="N1000" s="9"/>
    </row>
  </sheetData>
  <dataValidations count="1">
    <dataValidation type="list" allowBlank="1" showInputMessage="1" showErrorMessage="1" prompt="Select survey from dropdown list or begin typing name for autofill. " sqref="K46" xr:uid="{00000000-0002-0000-0200-000000000000}">
      <formula1>Surveys</formula1>
    </dataValidation>
  </dataValidations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Camera Days FINAL 4-20-20</vt:lpstr>
      <vt:lpstr>Camera Day Summary</vt:lpstr>
      <vt:lpstr>Key for Autofill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Amy Eppert</dc:creator>
  <cp:lastModifiedBy>Microsoft Office User</cp:lastModifiedBy>
  <dcterms:created xsi:type="dcterms:W3CDTF">2019-05-21T02:27:01Z</dcterms:created>
  <dcterms:modified xsi:type="dcterms:W3CDTF">2023-06-07T22:24:52Z</dcterms:modified>
</cp:coreProperties>
</file>